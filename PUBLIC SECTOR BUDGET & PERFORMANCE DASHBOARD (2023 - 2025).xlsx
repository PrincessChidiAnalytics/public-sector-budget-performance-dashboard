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29"/>
  <workbookPr defaultThemeVersion="166925"/>
  <mc:AlternateContent xmlns:mc="http://schemas.openxmlformats.org/markup-compatibility/2006">
    <mc:Choice Requires="x15">
      <x15ac:absPath xmlns:x15ac="http://schemas.microsoft.com/office/spreadsheetml/2010/11/ac" url="C:\Users\HP\Documents\EXCEL PORTFOLIO\"/>
    </mc:Choice>
  </mc:AlternateContent>
  <xr:revisionPtr revIDLastSave="0" documentId="13_ncr:1_{059A5C77-3BCC-4990-B689-F50C58D25542}" xr6:coauthVersionLast="43" xr6:coauthVersionMax="43" xr10:uidLastSave="{00000000-0000-0000-0000-000000000000}"/>
  <bookViews>
    <workbookView xWindow="-110" yWindow="-110" windowWidth="19420" windowHeight="10300" firstSheet="2" activeTab="3" xr2:uid="{00000000-000D-0000-FFFF-FFFF00000000}"/>
  </bookViews>
  <sheets>
    <sheet name="Budget Allocation by Department" sheetId="2" r:id="rId1"/>
    <sheet name="Project_Risk_Analysis" sheetId="3" r:id="rId2"/>
    <sheet name="Budget Performance Analysis" sheetId="5" r:id="rId3"/>
    <sheet name="Executive_Dashboard" sheetId="9" r:id="rId4"/>
    <sheet name="RAW_PROJECTS" sheetId="1" r:id="rId5"/>
  </sheets>
  <definedNames>
    <definedName name="Slicer_BUDGET_CATEGORY">#N/A</definedName>
    <definedName name="Slicer_DEPARTMENT">#N/A</definedName>
    <definedName name="Slicer_STATUS">#N/A</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2" i="1"/>
  <c r="E3" i="1"/>
  <c r="G3" i="1" s="1"/>
  <c r="E4" i="1"/>
  <c r="G4" i="1" s="1"/>
  <c r="E5" i="1"/>
  <c r="G5" i="1" s="1"/>
  <c r="E6" i="1"/>
  <c r="G6" i="1" s="1"/>
  <c r="E7" i="1"/>
  <c r="G7" i="1" s="1"/>
  <c r="E8" i="1"/>
  <c r="G8" i="1" s="1"/>
  <c r="E9" i="1"/>
  <c r="G9" i="1" s="1"/>
  <c r="E10" i="1"/>
  <c r="G10" i="1" s="1"/>
  <c r="E11" i="1"/>
  <c r="G11" i="1" s="1"/>
  <c r="E12" i="1"/>
  <c r="G12" i="1" s="1"/>
  <c r="E13" i="1"/>
  <c r="G13" i="1" s="1"/>
  <c r="E14" i="1"/>
  <c r="G14" i="1" s="1"/>
  <c r="E15" i="1"/>
  <c r="G15" i="1" s="1"/>
  <c r="E16" i="1"/>
  <c r="G16" i="1" s="1"/>
  <c r="E17" i="1"/>
  <c r="G17" i="1" s="1"/>
  <c r="E18" i="1"/>
  <c r="G18" i="1" s="1"/>
  <c r="E19" i="1"/>
  <c r="G19" i="1" s="1"/>
  <c r="E20" i="1"/>
  <c r="G20" i="1" s="1"/>
  <c r="E21" i="1"/>
  <c r="G21" i="1" s="1"/>
  <c r="E22" i="1"/>
  <c r="G22" i="1" s="1"/>
  <c r="E23" i="1"/>
  <c r="G23" i="1" s="1"/>
  <c r="E24" i="1"/>
  <c r="G24" i="1" s="1"/>
  <c r="E25" i="1"/>
  <c r="G25" i="1" s="1"/>
  <c r="E26" i="1"/>
  <c r="G26" i="1" s="1"/>
  <c r="E27" i="1"/>
  <c r="G27" i="1" s="1"/>
  <c r="E28" i="1"/>
  <c r="G28" i="1" s="1"/>
  <c r="E29" i="1"/>
  <c r="G29" i="1" s="1"/>
  <c r="E30" i="1"/>
  <c r="G30" i="1" s="1"/>
  <c r="E31" i="1"/>
  <c r="G31" i="1" s="1"/>
  <c r="E32" i="1"/>
  <c r="G32" i="1" s="1"/>
  <c r="E33" i="1"/>
  <c r="G33" i="1" s="1"/>
  <c r="E34" i="1"/>
  <c r="G34" i="1" s="1"/>
  <c r="E35" i="1"/>
  <c r="G35" i="1" s="1"/>
  <c r="E36" i="1"/>
  <c r="G36" i="1" s="1"/>
  <c r="E37" i="1"/>
  <c r="G37" i="1" s="1"/>
  <c r="E38" i="1"/>
  <c r="G38" i="1" s="1"/>
  <c r="E39" i="1"/>
  <c r="G39" i="1" s="1"/>
  <c r="E40" i="1"/>
  <c r="G40" i="1" s="1"/>
  <c r="E41" i="1"/>
  <c r="G41" i="1" s="1"/>
  <c r="E42" i="1"/>
  <c r="G42" i="1" s="1"/>
  <c r="E43" i="1"/>
  <c r="G43" i="1" s="1"/>
  <c r="E44" i="1"/>
  <c r="G44" i="1" s="1"/>
  <c r="E45" i="1"/>
  <c r="G45" i="1" s="1"/>
  <c r="E46" i="1"/>
  <c r="G46" i="1" s="1"/>
  <c r="E47" i="1"/>
  <c r="G47" i="1" s="1"/>
  <c r="E48" i="1"/>
  <c r="G48" i="1" s="1"/>
  <c r="E49" i="1"/>
  <c r="G49" i="1" s="1"/>
  <c r="E50" i="1"/>
  <c r="G50" i="1" s="1"/>
  <c r="E51" i="1"/>
  <c r="G51" i="1" s="1"/>
  <c r="E2" i="1"/>
  <c r="G2" i="1" s="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2" i="1"/>
</calcChain>
</file>

<file path=xl/sharedStrings.xml><?xml version="1.0" encoding="utf-8"?>
<sst xmlns="http://schemas.openxmlformats.org/spreadsheetml/2006/main" count="95" uniqueCount="28">
  <si>
    <t>PROJECT_ID</t>
  </si>
  <si>
    <t>PROJECT_NAME</t>
  </si>
  <si>
    <t>BUDGET</t>
  </si>
  <si>
    <t>ROAD CONSTRUCTION. SCHOOL RENOVATION. HOSPITAL UPGRADE. WATER SUPPLY PROJECT. RURAL ELECTRIFICATION</t>
  </si>
  <si>
    <t>STATUS</t>
  </si>
  <si>
    <t>BUDGET_CATEGORY</t>
  </si>
  <si>
    <t>PERFOMANCE_FLAG</t>
  </si>
  <si>
    <t>Agriculture</t>
  </si>
  <si>
    <t>Education</t>
  </si>
  <si>
    <t>Energy</t>
  </si>
  <si>
    <t>Health</t>
  </si>
  <si>
    <t>ICT</t>
  </si>
  <si>
    <t>Infrastructure</t>
  </si>
  <si>
    <t>Grand Total</t>
  </si>
  <si>
    <t>Sum of BUDGET</t>
  </si>
  <si>
    <t>DEPARTMENTS</t>
  </si>
  <si>
    <t>Total Budget Allocation by Department</t>
  </si>
  <si>
    <t>At Risk</t>
  </si>
  <si>
    <t>Delayed</t>
  </si>
  <si>
    <t>In Progress</t>
  </si>
  <si>
    <t>Completed</t>
  </si>
  <si>
    <t>Sum of PROJECT_ID</t>
  </si>
  <si>
    <t>Count of PROJECT_ID</t>
  </si>
  <si>
    <t>Sum of Avg_Budget_per_project</t>
  </si>
  <si>
    <t/>
  </si>
  <si>
    <t>Departments</t>
  </si>
  <si>
    <t>NIGERIA PUBLIC SECTOR BUDGET PERFORMANCE DASHBOARD (2023–2025)</t>
  </si>
  <si>
    <t>FILTERS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</si>
</sst>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409]* #,##0.00_ ;_-[$$-409]* \-#,##0.00\ ;_-[$$-409]* &quot;-&quot;??_ ;_-@_ "/>
    <numFmt numFmtId="165" formatCode="&quot;₦&quot;#,##0"/>
  </numFmts>
  <fonts count="11" x14ac:knownFonts="1">
    <font>
      <sz val="11"/>
      <name val="Arial"/>
      <family val="1"/>
    </font>
    <font>
      <sz val="11"/>
      <name val="Arial"/>
      <family val="1"/>
    </font>
    <font>
      <b/>
      <sz val="11"/>
      <color theme="1"/>
      <name val="Arial"/>
      <family val="1"/>
    </font>
    <font>
      <sz val="12"/>
      <name val="Arial"/>
      <family val="1"/>
    </font>
    <font>
      <b/>
      <sz val="12"/>
      <name val="Arial"/>
      <family val="2"/>
    </font>
    <font>
      <b/>
      <sz val="18"/>
      <name val="Arial"/>
      <family val="2"/>
    </font>
    <font>
      <b/>
      <sz val="16"/>
      <name val="Arial"/>
      <family val="2"/>
    </font>
    <font>
      <b/>
      <sz val="20"/>
      <name val="Arial"/>
      <family val="2"/>
    </font>
    <font>
      <b/>
      <sz val="26"/>
      <name val="Arial"/>
      <family val="2"/>
    </font>
    <font>
      <b/>
      <sz val="26"/>
      <color theme="0"/>
      <name val="Arial"/>
      <family val="2"/>
    </font>
    <font>
      <b/>
      <sz val="14"/>
      <color theme="0"/>
      <name val="Arial"/>
      <family val="2"/>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tint="-0.499984740745262"/>
        <bgColor indexed="64"/>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43" fontId="1" fillId="0" borderId="0" applyFont="0" applyFill="0" applyBorder="0" applyAlignment="0" applyProtection="0"/>
  </cellStyleXfs>
  <cellXfs count="22">
    <xf numFmtId="0" fontId="0" fillId="0" borderId="0" xfId="0"/>
    <xf numFmtId="0" fontId="0" fillId="0" borderId="0" xfId="0" pivotButton="1"/>
    <xf numFmtId="0" fontId="0" fillId="0" borderId="0" xfId="0" applyAlignment="1">
      <alignment horizontal="left"/>
    </xf>
    <xf numFmtId="0" fontId="0" fillId="0" borderId="0" xfId="0" applyNumberFormat="1"/>
    <xf numFmtId="0" fontId="2" fillId="2" borderId="1" xfId="0" applyFont="1" applyFill="1" applyBorder="1"/>
    <xf numFmtId="165" fontId="0" fillId="0" borderId="0" xfId="0" applyNumberFormat="1"/>
    <xf numFmtId="165" fontId="3" fillId="0" borderId="0" xfId="0" applyNumberFormat="1" applyFont="1"/>
    <xf numFmtId="0" fontId="3" fillId="0" borderId="0" xfId="0" applyFont="1" applyAlignment="1">
      <alignment horizontal="left"/>
    </xf>
    <xf numFmtId="164" fontId="3" fillId="0" borderId="0" xfId="0" applyNumberFormat="1" applyFont="1"/>
    <xf numFmtId="0" fontId="3" fillId="0" borderId="0" xfId="0" pivotButton="1" applyFont="1"/>
    <xf numFmtId="0" fontId="4" fillId="0" borderId="0" xfId="0" applyFont="1"/>
    <xf numFmtId="165" fontId="0" fillId="0" borderId="0" xfId="1" applyNumberFormat="1" applyFont="1"/>
    <xf numFmtId="0" fontId="3" fillId="0" borderId="0" xfId="0" applyNumberFormat="1" applyFont="1"/>
    <xf numFmtId="0" fontId="2" fillId="2" borderId="2" xfId="0" applyFont="1" applyFill="1" applyBorder="1" applyAlignment="1">
      <alignment horizontal="left"/>
    </xf>
    <xf numFmtId="0" fontId="2" fillId="2" borderId="2" xfId="0" applyNumberFormat="1" applyFont="1" applyFill="1" applyBorder="1"/>
    <xf numFmtId="0" fontId="5" fillId="0" borderId="0" xfId="0" applyFont="1"/>
    <xf numFmtId="0" fontId="6" fillId="0" borderId="0" xfId="0" applyFont="1"/>
    <xf numFmtId="0" fontId="7" fillId="0" borderId="0" xfId="0" applyFont="1"/>
    <xf numFmtId="0" fontId="8" fillId="3" borderId="0" xfId="0" applyFont="1" applyFill="1" applyAlignment="1"/>
    <xf numFmtId="0" fontId="0" fillId="3" borderId="0" xfId="0" applyFill="1"/>
    <xf numFmtId="0" fontId="9" fillId="3" borderId="0" xfId="0" applyFont="1" applyFill="1" applyAlignment="1"/>
    <xf numFmtId="0" fontId="10" fillId="3" borderId="0" xfId="0" applyNumberFormat="1" applyFont="1" applyFill="1" applyAlignment="1">
      <alignment horizontal="center"/>
    </xf>
  </cellXfs>
  <cellStyles count="2">
    <cellStyle name="Comma" xfId="1" builtinId="3"/>
    <cellStyle name="Normal" xfId="0" builtinId="0"/>
  </cellStyles>
  <dxfs count="136">
    <dxf>
      <numFmt numFmtId="35" formatCode="_-* #,##0.00_-;\-* #,##0.00_-;_-* &quot;-&quot;??_-;_-@_-"/>
    </dxf>
    <dxf>
      <numFmt numFmtId="164" formatCode="_-[$$-409]* #,##0.00_ ;_-[$$-409]* \-#,##0.00\ ;_-[$$-409]* &quot;-&quot;??_ ;_-@_ "/>
    </dxf>
    <dxf>
      <numFmt numFmtId="165" formatCode="&quot;₦&quot;#,##0"/>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35" formatCode="_-* #,##0.00_-;\-* #,##0.00_-;_-* &quot;-&quot;??_-;_-@_-"/>
    </dxf>
    <dxf>
      <numFmt numFmtId="164" formatCode="_-[$$-409]* #,##0.00_ ;_-[$$-409]* \-#,##0.00\ ;_-[$$-409]* &quot;-&quot;??_ ;_-@_ "/>
    </dxf>
    <dxf>
      <numFmt numFmtId="165" formatCode="&quot;₦&quot;#,##0"/>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35" formatCode="_-* #,##0.00_-;\-* #,##0.00_-;_-* &quot;-&quot;??_-;_-@_-"/>
    </dxf>
    <dxf>
      <numFmt numFmtId="164" formatCode="_-[$$-409]* #,##0.00_ ;_-[$$-409]* \-#,##0.00\ ;_-[$$-409]* &quot;-&quot;??_ ;_-@_ "/>
    </dxf>
    <dxf>
      <numFmt numFmtId="165" formatCode="&quot;₦&quot;#,##0"/>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35" formatCode="_-* #,##0.00_-;\-* #,##0.00_-;_-* &quot;-&quot;??_-;_-@_-"/>
    </dxf>
    <dxf>
      <numFmt numFmtId="164" formatCode="_-[$$-409]* #,##0.00_ ;_-[$$-409]* \-#,##0.00\ ;_-[$$-409]* &quot;-&quot;??_ ;_-@_ "/>
    </dxf>
    <dxf>
      <numFmt numFmtId="165" formatCode="&quot;₦&quot;#,##0"/>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35" formatCode="_-* #,##0.00_-;\-* #,##0.00_-;_-* &quot;-&quot;??_-;_-@_-"/>
    </dxf>
    <dxf>
      <numFmt numFmtId="164" formatCode="_-[$$-409]* #,##0.00_ ;_-[$$-409]* \-#,##0.00\ ;_-[$$-409]* &quot;-&quot;??_ ;_-@_ "/>
    </dxf>
    <dxf>
      <numFmt numFmtId="165" formatCode="&quot;₦&quot;#,##0"/>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35" formatCode="_-* #,##0.00_-;\-* #,##0.00_-;_-* &quot;-&quot;??_-;_-@_-"/>
    </dxf>
    <dxf>
      <numFmt numFmtId="164" formatCode="_-[$$-409]* #,##0.00_ ;_-[$$-409]* \-#,##0.00\ ;_-[$$-409]* &quot;-&quot;??_ ;_-@_ "/>
    </dxf>
    <dxf>
      <numFmt numFmtId="165" formatCode="&quot;₦&quot;#,##0"/>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35" formatCode="_-* #,##0.00_-;\-* #,##0.00_-;_-* &quot;-&quot;??_-;_-@_-"/>
    </dxf>
    <dxf>
      <numFmt numFmtId="164" formatCode="_-[$$-409]* #,##0.00_ ;_-[$$-409]* \-#,##0.00\ ;_-[$$-409]* &quot;-&quot;??_ ;_-@_ "/>
    </dxf>
    <dxf>
      <numFmt numFmtId="165" formatCode="&quot;₦&quot;#,##0"/>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35" formatCode="_-* #,##0.00_-;\-* #,##0.00_-;_-* &quot;-&quot;??_-;_-@_-"/>
    </dxf>
    <dxf>
      <numFmt numFmtId="164" formatCode="_-[$$-409]* #,##0.00_ ;_-[$$-409]* \-#,##0.00\ ;_-[$$-409]* &quot;-&quot;??_ ;_-@_ "/>
    </dxf>
    <dxf>
      <numFmt numFmtId="165" formatCode="&quot;₦&quot;#,##0"/>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35" formatCode="_-* #,##0.00_-;\-* #,##0.00_-;_-* &quot;-&quot;??_-;_-@_-"/>
    </dxf>
    <dxf>
      <numFmt numFmtId="164" formatCode="_-[$$-409]* #,##0.00_ ;_-[$$-409]* \-#,##0.00\ ;_-[$$-409]* &quot;-&quot;??_ ;_-@_ "/>
    </dxf>
    <dxf>
      <numFmt numFmtId="165" formatCode="&quot;₦&quot;#,##0"/>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65" formatCode="&quot;₦&quot;#,##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[MOCK_DATA.xlsx]Budget Allocation by Department!PivotTable1</c:name>
    <c:fmtId val="2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'Budget Allocation by Department'!$B$3</c:f>
              <c:strCache>
                <c:ptCount val="1"/>
                <c:pt idx="0">
                  <c:v>Total</c:v>
                </c:pt>
              </c:strCache>
            </c:strRef>
          </c:tx>
          <c:spPr>
            <a:solidFill>
              <a:schemeClr val="accent1"/>
            </a:solidFill>
            <a:ln>
              <a:noFill/>
            </a:ln>
            <a:effectLst/>
            <a:sp3d/>
          </c:spPr>
          <c:invertIfNegative val="0"/>
          <c:cat>
            <c:strRef>
              <c:f>'Budget Allocation by Department'!$A$4:$A$10</c:f>
              <c:strCache>
                <c:ptCount val="6"/>
                <c:pt idx="0">
                  <c:v>Education</c:v>
                </c:pt>
                <c:pt idx="1">
                  <c:v>ICT</c:v>
                </c:pt>
                <c:pt idx="2">
                  <c:v>Agriculture</c:v>
                </c:pt>
                <c:pt idx="3">
                  <c:v>Infrastructure</c:v>
                </c:pt>
                <c:pt idx="4">
                  <c:v>Health</c:v>
                </c:pt>
                <c:pt idx="5">
                  <c:v>Energy</c:v>
                </c:pt>
              </c:strCache>
            </c:strRef>
          </c:cat>
          <c:val>
            <c:numRef>
              <c:f>'Budget Allocation by Department'!$B$4:$B$10</c:f>
              <c:numCache>
                <c:formatCode>"₦"#,##0</c:formatCode>
                <c:ptCount val="6"/>
                <c:pt idx="0">
                  <c:v>341787084</c:v>
                </c:pt>
                <c:pt idx="1">
                  <c:v>318919319</c:v>
                </c:pt>
                <c:pt idx="2">
                  <c:v>268406336</c:v>
                </c:pt>
                <c:pt idx="3">
                  <c:v>231942936</c:v>
                </c:pt>
                <c:pt idx="4">
                  <c:v>190712615</c:v>
                </c:pt>
                <c:pt idx="5">
                  <c:v>72804672</c:v>
                </c:pt>
              </c:numCache>
            </c:numRef>
          </c:val>
          <c:extLst>
            <c:ext xmlns:c16="http://schemas.microsoft.com/office/drawing/2014/chart" uri="{C3380CC4-5D6E-409C-BE32-E72D297353CC}">
              <c16:uniqueId val="{00000000-F000-48AA-87BD-FF625AD667A6}"/>
            </c:ext>
          </c:extLst>
        </c:ser>
        <c:dLbls>
          <c:showLegendKey val="0"/>
          <c:showVal val="0"/>
          <c:showCatName val="0"/>
          <c:showSerName val="0"/>
          <c:showPercent val="0"/>
          <c:showBubbleSize val="0"/>
        </c:dLbls>
        <c:gapWidth val="150"/>
        <c:shape val="box"/>
        <c:axId val="435731599"/>
        <c:axId val="440532223"/>
        <c:axId val="0"/>
      </c:bar3DChart>
      <c:catAx>
        <c:axId val="4357315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40532223"/>
        <c:crosses val="autoZero"/>
        <c:auto val="1"/>
        <c:lblAlgn val="ctr"/>
        <c:lblOffset val="100"/>
        <c:noMultiLvlLbl val="0"/>
      </c:catAx>
      <c:valAx>
        <c:axId val="440532223"/>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35731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[MOCK_DATA.xlsx]Project_Risk_Analysis!PivotTable2</c:name>
    <c:fmtId val="5"/>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Project_Risk_Analysis!$B$3:$B$4</c:f>
              <c:strCache>
                <c:ptCount val="1"/>
                <c:pt idx="0">
                  <c:v>At Risk</c:v>
                </c:pt>
              </c:strCache>
            </c:strRef>
          </c:tx>
          <c:spPr>
            <a:solidFill>
              <a:schemeClr val="accent1"/>
            </a:solidFill>
            <a:ln>
              <a:noFill/>
            </a:ln>
            <a:effectLst/>
            <a:sp3d/>
          </c:spPr>
          <c:invertIfNegative val="0"/>
          <c:cat>
            <c:strRef>
              <c:f>Project_Risk_Analysis!$A$5:$A$11</c:f>
              <c:strCache>
                <c:ptCount val="6"/>
                <c:pt idx="0">
                  <c:v>Agriculture</c:v>
                </c:pt>
                <c:pt idx="1">
                  <c:v>Education</c:v>
                </c:pt>
                <c:pt idx="2">
                  <c:v>Energy</c:v>
                </c:pt>
                <c:pt idx="3">
                  <c:v>Health</c:v>
                </c:pt>
                <c:pt idx="4">
                  <c:v>ICT</c:v>
                </c:pt>
                <c:pt idx="5">
                  <c:v>Infrastructure</c:v>
                </c:pt>
              </c:strCache>
            </c:strRef>
          </c:cat>
          <c:val>
            <c:numRef>
              <c:f>Project_Risk_Analysis!$B$5:$B$11</c:f>
              <c:numCache>
                <c:formatCode>General</c:formatCode>
                <c:ptCount val="6"/>
                <c:pt idx="0">
                  <c:v>83</c:v>
                </c:pt>
                <c:pt idx="1">
                  <c:v>121</c:v>
                </c:pt>
                <c:pt idx="3">
                  <c:v>16</c:v>
                </c:pt>
                <c:pt idx="4">
                  <c:v>27</c:v>
                </c:pt>
                <c:pt idx="5">
                  <c:v>25</c:v>
                </c:pt>
              </c:numCache>
            </c:numRef>
          </c:val>
          <c:extLst>
            <c:ext xmlns:c16="http://schemas.microsoft.com/office/drawing/2014/chart" uri="{C3380CC4-5D6E-409C-BE32-E72D297353CC}">
              <c16:uniqueId val="{00000000-2BC5-43CD-9FBD-F56DED10136C}"/>
            </c:ext>
          </c:extLst>
        </c:ser>
        <c:ser>
          <c:idx val="1"/>
          <c:order val="1"/>
          <c:tx>
            <c:strRef>
              <c:f>Project_Risk_Analysis!$C$3:$C$4</c:f>
              <c:strCache>
                <c:ptCount val="1"/>
                <c:pt idx="0">
                  <c:v>Completed</c:v>
                </c:pt>
              </c:strCache>
            </c:strRef>
          </c:tx>
          <c:spPr>
            <a:solidFill>
              <a:schemeClr val="accent2"/>
            </a:solidFill>
            <a:ln>
              <a:noFill/>
            </a:ln>
            <a:effectLst/>
            <a:sp3d/>
          </c:spPr>
          <c:invertIfNegative val="0"/>
          <c:cat>
            <c:strRef>
              <c:f>Project_Risk_Analysis!$A$5:$A$11</c:f>
              <c:strCache>
                <c:ptCount val="6"/>
                <c:pt idx="0">
                  <c:v>Agriculture</c:v>
                </c:pt>
                <c:pt idx="1">
                  <c:v>Education</c:v>
                </c:pt>
                <c:pt idx="2">
                  <c:v>Energy</c:v>
                </c:pt>
                <c:pt idx="3">
                  <c:v>Health</c:v>
                </c:pt>
                <c:pt idx="4">
                  <c:v>ICT</c:v>
                </c:pt>
                <c:pt idx="5">
                  <c:v>Infrastructure</c:v>
                </c:pt>
              </c:strCache>
            </c:strRef>
          </c:cat>
          <c:val>
            <c:numRef>
              <c:f>Project_Risk_Analysis!$C$5:$C$11</c:f>
              <c:numCache>
                <c:formatCode>General</c:formatCode>
                <c:ptCount val="6"/>
                <c:pt idx="1">
                  <c:v>109</c:v>
                </c:pt>
                <c:pt idx="3">
                  <c:v>121</c:v>
                </c:pt>
                <c:pt idx="4">
                  <c:v>90</c:v>
                </c:pt>
                <c:pt idx="5">
                  <c:v>132</c:v>
                </c:pt>
              </c:numCache>
            </c:numRef>
          </c:val>
          <c:extLst>
            <c:ext xmlns:c16="http://schemas.microsoft.com/office/drawing/2014/chart" uri="{C3380CC4-5D6E-409C-BE32-E72D297353CC}">
              <c16:uniqueId val="{00000000-0859-4595-A9A6-B3DA25FAC9A4}"/>
            </c:ext>
          </c:extLst>
        </c:ser>
        <c:ser>
          <c:idx val="2"/>
          <c:order val="2"/>
          <c:tx>
            <c:strRef>
              <c:f>Project_Risk_Analysis!$D$3:$D$4</c:f>
              <c:strCache>
                <c:ptCount val="1"/>
                <c:pt idx="0">
                  <c:v>Delayed</c:v>
                </c:pt>
              </c:strCache>
            </c:strRef>
          </c:tx>
          <c:spPr>
            <a:solidFill>
              <a:schemeClr val="accent3"/>
            </a:solidFill>
            <a:ln>
              <a:noFill/>
            </a:ln>
            <a:effectLst/>
            <a:sp3d/>
          </c:spPr>
          <c:invertIfNegative val="0"/>
          <c:cat>
            <c:strRef>
              <c:f>Project_Risk_Analysis!$A$5:$A$11</c:f>
              <c:strCache>
                <c:ptCount val="6"/>
                <c:pt idx="0">
                  <c:v>Agriculture</c:v>
                </c:pt>
                <c:pt idx="1">
                  <c:v>Education</c:v>
                </c:pt>
                <c:pt idx="2">
                  <c:v>Energy</c:v>
                </c:pt>
                <c:pt idx="3">
                  <c:v>Health</c:v>
                </c:pt>
                <c:pt idx="4">
                  <c:v>ICT</c:v>
                </c:pt>
                <c:pt idx="5">
                  <c:v>Infrastructure</c:v>
                </c:pt>
              </c:strCache>
            </c:strRef>
          </c:cat>
          <c:val>
            <c:numRef>
              <c:f>Project_Risk_Analysis!$D$5:$D$11</c:f>
              <c:numCache>
                <c:formatCode>General</c:formatCode>
                <c:ptCount val="6"/>
                <c:pt idx="0">
                  <c:v>60</c:v>
                </c:pt>
                <c:pt idx="1">
                  <c:v>17</c:v>
                </c:pt>
                <c:pt idx="2">
                  <c:v>65</c:v>
                </c:pt>
                <c:pt idx="3">
                  <c:v>8</c:v>
                </c:pt>
                <c:pt idx="4">
                  <c:v>106</c:v>
                </c:pt>
                <c:pt idx="5">
                  <c:v>51</c:v>
                </c:pt>
              </c:numCache>
            </c:numRef>
          </c:val>
          <c:extLst>
            <c:ext xmlns:c16="http://schemas.microsoft.com/office/drawing/2014/chart" uri="{C3380CC4-5D6E-409C-BE32-E72D297353CC}">
              <c16:uniqueId val="{00000001-0859-4595-A9A6-B3DA25FAC9A4}"/>
            </c:ext>
          </c:extLst>
        </c:ser>
        <c:ser>
          <c:idx val="3"/>
          <c:order val="3"/>
          <c:tx>
            <c:strRef>
              <c:f>Project_Risk_Analysis!$E$3:$E$4</c:f>
              <c:strCache>
                <c:ptCount val="1"/>
                <c:pt idx="0">
                  <c:v>In Progress</c:v>
                </c:pt>
              </c:strCache>
            </c:strRef>
          </c:tx>
          <c:spPr>
            <a:solidFill>
              <a:schemeClr val="accent4"/>
            </a:solidFill>
            <a:ln>
              <a:noFill/>
            </a:ln>
            <a:effectLst/>
            <a:sp3d/>
          </c:spPr>
          <c:invertIfNegative val="0"/>
          <c:cat>
            <c:strRef>
              <c:f>Project_Risk_Analysis!$A$5:$A$11</c:f>
              <c:strCache>
                <c:ptCount val="6"/>
                <c:pt idx="0">
                  <c:v>Agriculture</c:v>
                </c:pt>
                <c:pt idx="1">
                  <c:v>Education</c:v>
                </c:pt>
                <c:pt idx="2">
                  <c:v>Energy</c:v>
                </c:pt>
                <c:pt idx="3">
                  <c:v>Health</c:v>
                </c:pt>
                <c:pt idx="4">
                  <c:v>ICT</c:v>
                </c:pt>
                <c:pt idx="5">
                  <c:v>Infrastructure</c:v>
                </c:pt>
              </c:strCache>
            </c:strRef>
          </c:cat>
          <c:val>
            <c:numRef>
              <c:f>Project_Risk_Analysis!$E$5:$E$11</c:f>
              <c:numCache>
                <c:formatCode>General</c:formatCode>
                <c:ptCount val="6"/>
                <c:pt idx="0">
                  <c:v>17</c:v>
                </c:pt>
                <c:pt idx="1">
                  <c:v>52</c:v>
                </c:pt>
                <c:pt idx="2">
                  <c:v>54</c:v>
                </c:pt>
                <c:pt idx="3">
                  <c:v>54</c:v>
                </c:pt>
                <c:pt idx="4">
                  <c:v>26</c:v>
                </c:pt>
                <c:pt idx="5">
                  <c:v>41</c:v>
                </c:pt>
              </c:numCache>
            </c:numRef>
          </c:val>
          <c:extLst>
            <c:ext xmlns:c16="http://schemas.microsoft.com/office/drawing/2014/chart" uri="{C3380CC4-5D6E-409C-BE32-E72D297353CC}">
              <c16:uniqueId val="{00000003-0859-4595-A9A6-B3DA25FAC9A4}"/>
            </c:ext>
          </c:extLst>
        </c:ser>
        <c:dLbls>
          <c:showLegendKey val="0"/>
          <c:showVal val="0"/>
          <c:showCatName val="0"/>
          <c:showSerName val="0"/>
          <c:showPercent val="0"/>
          <c:showBubbleSize val="0"/>
        </c:dLbls>
        <c:gapWidth val="150"/>
        <c:shape val="box"/>
        <c:axId val="431806271"/>
        <c:axId val="440512671"/>
        <c:axId val="0"/>
      </c:bar3DChart>
      <c:catAx>
        <c:axId val="4318062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40512671"/>
        <c:crosses val="autoZero"/>
        <c:auto val="1"/>
        <c:lblAlgn val="ctr"/>
        <c:lblOffset val="100"/>
        <c:noMultiLvlLbl val="0"/>
      </c:catAx>
      <c:valAx>
        <c:axId val="4405126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31806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[MOCK_DATA.xlsx]Budget Performance Analysis!PivotTable3</c:name>
    <c:fmtId val="6"/>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'Budget Performance Analysis'!$B$3</c:f>
              <c:strCache>
                <c:ptCount val="1"/>
                <c:pt idx="0">
                  <c:v>Sum of BUDGET</c:v>
                </c:pt>
              </c:strCache>
            </c:strRef>
          </c:tx>
          <c:spPr>
            <a:solidFill>
              <a:schemeClr val="accent1"/>
            </a:solidFill>
            <a:ln>
              <a:noFill/>
            </a:ln>
            <a:effectLst/>
            <a:sp3d/>
          </c:spPr>
          <c:invertIfNegative val="0"/>
          <c:cat>
            <c:strRef>
              <c:f>'Budget Performance Analysis'!$A$4:$A$10</c:f>
              <c:strCache>
                <c:ptCount val="6"/>
                <c:pt idx="0">
                  <c:v>Education</c:v>
                </c:pt>
                <c:pt idx="1">
                  <c:v>ICT</c:v>
                </c:pt>
                <c:pt idx="2">
                  <c:v>Agriculture</c:v>
                </c:pt>
                <c:pt idx="3">
                  <c:v>Infrastructure</c:v>
                </c:pt>
                <c:pt idx="4">
                  <c:v>Health</c:v>
                </c:pt>
                <c:pt idx="5">
                  <c:v>Energy</c:v>
                </c:pt>
              </c:strCache>
            </c:strRef>
          </c:cat>
          <c:val>
            <c:numRef>
              <c:f>'Budget Performance Analysis'!$B$4:$B$10</c:f>
              <c:numCache>
                <c:formatCode>"₦"#,##0</c:formatCode>
                <c:ptCount val="6"/>
                <c:pt idx="0">
                  <c:v>341787084</c:v>
                </c:pt>
                <c:pt idx="1">
                  <c:v>318919319</c:v>
                </c:pt>
                <c:pt idx="2">
                  <c:v>268406336</c:v>
                </c:pt>
                <c:pt idx="3">
                  <c:v>231942936</c:v>
                </c:pt>
                <c:pt idx="4">
                  <c:v>190712615</c:v>
                </c:pt>
                <c:pt idx="5">
                  <c:v>72804672</c:v>
                </c:pt>
              </c:numCache>
            </c:numRef>
          </c:val>
          <c:extLst>
            <c:ext xmlns:c16="http://schemas.microsoft.com/office/drawing/2014/chart" uri="{C3380CC4-5D6E-409C-BE32-E72D297353CC}">
              <c16:uniqueId val="{00000000-467C-4496-A3B2-0DA76BAA29D4}"/>
            </c:ext>
          </c:extLst>
        </c:ser>
        <c:ser>
          <c:idx val="1"/>
          <c:order val="1"/>
          <c:tx>
            <c:strRef>
              <c:f>'Budget Performance Analysis'!$C$3</c:f>
              <c:strCache>
                <c:ptCount val="1"/>
                <c:pt idx="0">
                  <c:v>Count of PROJECT_ID</c:v>
                </c:pt>
              </c:strCache>
            </c:strRef>
          </c:tx>
          <c:spPr>
            <a:solidFill>
              <a:schemeClr val="accent2"/>
            </a:solidFill>
            <a:ln>
              <a:noFill/>
            </a:ln>
            <a:effectLst/>
            <a:sp3d/>
          </c:spPr>
          <c:invertIfNegative val="0"/>
          <c:cat>
            <c:strRef>
              <c:f>'Budget Performance Analysis'!$A$4:$A$10</c:f>
              <c:strCache>
                <c:ptCount val="6"/>
                <c:pt idx="0">
                  <c:v>Education</c:v>
                </c:pt>
                <c:pt idx="1">
                  <c:v>ICT</c:v>
                </c:pt>
                <c:pt idx="2">
                  <c:v>Agriculture</c:v>
                </c:pt>
                <c:pt idx="3">
                  <c:v>Infrastructure</c:v>
                </c:pt>
                <c:pt idx="4">
                  <c:v>Health</c:v>
                </c:pt>
                <c:pt idx="5">
                  <c:v>Energy</c:v>
                </c:pt>
              </c:strCache>
            </c:strRef>
          </c:cat>
          <c:val>
            <c:numRef>
              <c:f>'Budget Performance Analysis'!$C$4:$C$10</c:f>
              <c:numCache>
                <c:formatCode>General</c:formatCode>
                <c:ptCount val="6"/>
                <c:pt idx="0">
                  <c:v>299</c:v>
                </c:pt>
                <c:pt idx="1">
                  <c:v>249</c:v>
                </c:pt>
                <c:pt idx="2">
                  <c:v>160</c:v>
                </c:pt>
                <c:pt idx="3">
                  <c:v>249</c:v>
                </c:pt>
                <c:pt idx="4">
                  <c:v>199</c:v>
                </c:pt>
                <c:pt idx="5">
                  <c:v>119</c:v>
                </c:pt>
              </c:numCache>
            </c:numRef>
          </c:val>
          <c:extLst>
            <c:ext xmlns:c16="http://schemas.microsoft.com/office/drawing/2014/chart" uri="{C3380CC4-5D6E-409C-BE32-E72D297353CC}">
              <c16:uniqueId val="{00000001-467C-4496-A3B2-0DA76BAA29D4}"/>
            </c:ext>
          </c:extLst>
        </c:ser>
        <c:ser>
          <c:idx val="2"/>
          <c:order val="2"/>
          <c:tx>
            <c:strRef>
              <c:f>'Budget Performance Analysis'!$D$3</c:f>
              <c:strCache>
                <c:ptCount val="1"/>
                <c:pt idx="0">
                  <c:v>Sum of Avg_Budget_per_project</c:v>
                </c:pt>
              </c:strCache>
            </c:strRef>
          </c:tx>
          <c:spPr>
            <a:solidFill>
              <a:schemeClr val="accent3"/>
            </a:solidFill>
            <a:ln>
              <a:noFill/>
            </a:ln>
            <a:effectLst/>
            <a:sp3d/>
          </c:spPr>
          <c:invertIfNegative val="0"/>
          <c:cat>
            <c:strRef>
              <c:f>'Budget Performance Analysis'!$A$4:$A$10</c:f>
              <c:strCache>
                <c:ptCount val="6"/>
                <c:pt idx="0">
                  <c:v>Education</c:v>
                </c:pt>
                <c:pt idx="1">
                  <c:v>ICT</c:v>
                </c:pt>
                <c:pt idx="2">
                  <c:v>Agriculture</c:v>
                </c:pt>
                <c:pt idx="3">
                  <c:v>Infrastructure</c:v>
                </c:pt>
                <c:pt idx="4">
                  <c:v>Health</c:v>
                </c:pt>
                <c:pt idx="5">
                  <c:v>Energy</c:v>
                </c:pt>
              </c:strCache>
            </c:strRef>
          </c:cat>
          <c:val>
            <c:numRef>
              <c:f>'Budget Performance Analysis'!$D$4:$D$10</c:f>
              <c:numCache>
                <c:formatCode>"₦"#,##0</c:formatCode>
                <c:ptCount val="6"/>
                <c:pt idx="0">
                  <c:v>1143100.6153846155</c:v>
                </c:pt>
                <c:pt idx="1">
                  <c:v>1280800.4779116465</c:v>
                </c:pt>
                <c:pt idx="2">
                  <c:v>1677539.6</c:v>
                </c:pt>
                <c:pt idx="3">
                  <c:v>931497.73493975902</c:v>
                </c:pt>
                <c:pt idx="4">
                  <c:v>958354.84924623114</c:v>
                </c:pt>
                <c:pt idx="5">
                  <c:v>611803.96638655465</c:v>
                </c:pt>
              </c:numCache>
            </c:numRef>
          </c:val>
          <c:extLst>
            <c:ext xmlns:c16="http://schemas.microsoft.com/office/drawing/2014/chart" uri="{C3380CC4-5D6E-409C-BE32-E72D297353CC}">
              <c16:uniqueId val="{00000002-467C-4496-A3B2-0DA76BAA29D4}"/>
            </c:ext>
          </c:extLst>
        </c:ser>
        <c:dLbls>
          <c:showLegendKey val="0"/>
          <c:showVal val="0"/>
          <c:showCatName val="0"/>
          <c:showSerName val="0"/>
          <c:showPercent val="0"/>
          <c:showBubbleSize val="0"/>
        </c:dLbls>
        <c:gapWidth val="150"/>
        <c:shape val="box"/>
        <c:axId val="595548975"/>
        <c:axId val="440513087"/>
        <c:axId val="0"/>
      </c:bar3DChart>
      <c:catAx>
        <c:axId val="5955489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40513087"/>
        <c:crosses val="autoZero"/>
        <c:auto val="1"/>
        <c:lblAlgn val="ctr"/>
        <c:lblOffset val="100"/>
        <c:noMultiLvlLbl val="0"/>
      </c:catAx>
      <c:valAx>
        <c:axId val="440513087"/>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95548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517407</xdr:colOff>
      <xdr:row>6</xdr:row>
      <xdr:rowOff>0</xdr:rowOff>
    </xdr:from>
    <xdr:to>
      <xdr:col>3</xdr:col>
      <xdr:colOff>881944</xdr:colOff>
      <xdr:row>24</xdr:row>
      <xdr:rowOff>141112</xdr:rowOff>
    </xdr:to>
    <xdr:graphicFrame macro="">
      <xdr:nvGraphicFramePr>
        <xdr:cNvPr id="6" name="Chart 5">
          <a:extLst>
            <a:ext uri="{FF2B5EF4-FFF2-40B4-BE49-F238E27FC236}">
              <a16:creationId xmlns:a16="http://schemas.microsoft.com/office/drawing/2014/main" id="{D2E8249A-38F9-455E-9944-84AF88B15B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452893</xdr:colOff>
      <xdr:row>6</xdr:row>
      <xdr:rowOff>59532</xdr:rowOff>
    </xdr:from>
    <xdr:to>
      <xdr:col>9</xdr:col>
      <xdr:colOff>249885</xdr:colOff>
      <xdr:row>25</xdr:row>
      <xdr:rowOff>33810</xdr:rowOff>
    </xdr:to>
    <xdr:graphicFrame macro="">
      <xdr:nvGraphicFramePr>
        <xdr:cNvPr id="7" name="Chart 6">
          <a:extLst>
            <a:ext uri="{FF2B5EF4-FFF2-40B4-BE49-F238E27FC236}">
              <a16:creationId xmlns:a16="http://schemas.microsoft.com/office/drawing/2014/main" id="{EFF6D1D4-EE6C-4F05-93F8-7339D1C033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613776</xdr:colOff>
      <xdr:row>26</xdr:row>
      <xdr:rowOff>14913</xdr:rowOff>
    </xdr:from>
    <xdr:to>
      <xdr:col>6</xdr:col>
      <xdr:colOff>385726</xdr:colOff>
      <xdr:row>45</xdr:row>
      <xdr:rowOff>0</xdr:rowOff>
    </xdr:to>
    <xdr:graphicFrame macro="">
      <xdr:nvGraphicFramePr>
        <xdr:cNvPr id="9" name="Chart 8">
          <a:extLst>
            <a:ext uri="{FF2B5EF4-FFF2-40B4-BE49-F238E27FC236}">
              <a16:creationId xmlns:a16="http://schemas.microsoft.com/office/drawing/2014/main" id="{4649578F-8B90-4A78-A42B-46D25CB79E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82316</xdr:colOff>
      <xdr:row>2</xdr:row>
      <xdr:rowOff>0</xdr:rowOff>
    </xdr:from>
    <xdr:to>
      <xdr:col>0</xdr:col>
      <xdr:colOff>2457685</xdr:colOff>
      <xdr:row>4</xdr:row>
      <xdr:rowOff>141111</xdr:rowOff>
    </xdr:to>
    <xdr:sp macro="" textlink="">
      <xdr:nvSpPr>
        <xdr:cNvPr id="3" name="Rectangle: Rounded Corners 2">
          <a:extLst>
            <a:ext uri="{FF2B5EF4-FFF2-40B4-BE49-F238E27FC236}">
              <a16:creationId xmlns:a16="http://schemas.microsoft.com/office/drawing/2014/main" id="{EC145C66-C1A4-4A3C-AC5A-0EFAB230B635}"/>
            </a:ext>
          </a:extLst>
        </xdr:cNvPr>
        <xdr:cNvSpPr/>
      </xdr:nvSpPr>
      <xdr:spPr>
        <a:xfrm>
          <a:off x="82316" y="587963"/>
          <a:ext cx="2375369" cy="729074"/>
        </a:xfrm>
        <a:prstGeom prst="roundRect">
          <a:avLst>
            <a:gd name="adj"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latin typeface="Arial" panose="020B0604020202020204" pitchFamily="34" charset="0"/>
              <a:cs typeface="Arial" panose="020B0604020202020204" pitchFamily="34" charset="0"/>
            </a:rPr>
            <a:t>TOTAL</a:t>
          </a:r>
          <a:r>
            <a:rPr lang="en-US" sz="1600" b="1" baseline="0">
              <a:latin typeface="Arial" panose="020B0604020202020204" pitchFamily="34" charset="0"/>
              <a:cs typeface="Arial" panose="020B0604020202020204" pitchFamily="34" charset="0"/>
            </a:rPr>
            <a:t> </a:t>
          </a:r>
          <a:r>
            <a:rPr lang="en-US" sz="1600" b="1">
              <a:latin typeface="Arial" panose="020B0604020202020204" pitchFamily="34" charset="0"/>
              <a:cs typeface="Arial" panose="020B0604020202020204" pitchFamily="34" charset="0"/>
            </a:rPr>
            <a:t>BUDGET</a:t>
          </a:r>
        </a:p>
        <a:p>
          <a:pPr algn="ctr"/>
          <a:r>
            <a:rPr lang="en-US" sz="1600" b="1">
              <a:latin typeface="Arial" panose="020B0604020202020204" pitchFamily="34" charset="0"/>
              <a:cs typeface="Arial" panose="020B0604020202020204" pitchFamily="34" charset="0"/>
            </a:rPr>
            <a:t>1,424,572,962</a:t>
          </a:r>
          <a:endParaRPr lang="en-NG" sz="1600" b="1">
            <a:latin typeface="Arial" panose="020B0604020202020204" pitchFamily="34" charset="0"/>
            <a:cs typeface="Arial" panose="020B0604020202020204" pitchFamily="34" charset="0"/>
          </a:endParaRPr>
        </a:p>
      </xdr:txBody>
    </xdr:sp>
    <xdr:clientData/>
  </xdr:twoCellAnchor>
  <xdr:twoCellAnchor>
    <xdr:from>
      <xdr:col>1</xdr:col>
      <xdr:colOff>1175454</xdr:colOff>
      <xdr:row>2</xdr:row>
      <xdr:rowOff>0</xdr:rowOff>
    </xdr:from>
    <xdr:to>
      <xdr:col>2</xdr:col>
      <xdr:colOff>2304815</xdr:colOff>
      <xdr:row>4</xdr:row>
      <xdr:rowOff>141111</xdr:rowOff>
    </xdr:to>
    <xdr:sp macro="" textlink="">
      <xdr:nvSpPr>
        <xdr:cNvPr id="8" name="Rectangle: Rounded Corners 7">
          <a:extLst>
            <a:ext uri="{FF2B5EF4-FFF2-40B4-BE49-F238E27FC236}">
              <a16:creationId xmlns:a16="http://schemas.microsoft.com/office/drawing/2014/main" id="{C1CAF0CF-4F10-4DE8-8ED9-B38E443EE75E}"/>
            </a:ext>
          </a:extLst>
        </xdr:cNvPr>
        <xdr:cNvSpPr/>
      </xdr:nvSpPr>
      <xdr:spPr>
        <a:xfrm>
          <a:off x="3797769" y="587963"/>
          <a:ext cx="2328805" cy="729074"/>
        </a:xfrm>
        <a:prstGeom prst="roundRect">
          <a:avLst>
            <a:gd name="adj"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latin typeface="Arial" panose="020B0604020202020204" pitchFamily="34" charset="0"/>
              <a:cs typeface="Arial" panose="020B0604020202020204" pitchFamily="34" charset="0"/>
            </a:rPr>
            <a:t>TOTAL PROJECTS</a:t>
          </a:r>
        </a:p>
        <a:p>
          <a:pPr algn="ctr"/>
          <a:r>
            <a:rPr lang="en-US" sz="1600" b="1">
              <a:latin typeface="Arial" panose="020B0604020202020204" pitchFamily="34" charset="0"/>
              <a:cs typeface="Arial" panose="020B0604020202020204" pitchFamily="34" charset="0"/>
            </a:rPr>
            <a:t>1275</a:t>
          </a:r>
          <a:endParaRPr lang="en-NG" sz="1600" b="1">
            <a:latin typeface="Arial" panose="020B0604020202020204" pitchFamily="34" charset="0"/>
            <a:cs typeface="Arial" panose="020B0604020202020204" pitchFamily="34" charset="0"/>
          </a:endParaRPr>
        </a:p>
      </xdr:txBody>
    </xdr:sp>
    <xdr:clientData/>
  </xdr:twoCellAnchor>
  <xdr:twoCellAnchor>
    <xdr:from>
      <xdr:col>4</xdr:col>
      <xdr:colOff>163689</xdr:colOff>
      <xdr:row>2</xdr:row>
      <xdr:rowOff>22578</xdr:rowOff>
    </xdr:from>
    <xdr:to>
      <xdr:col>4</xdr:col>
      <xdr:colOff>2622314</xdr:colOff>
      <xdr:row>4</xdr:row>
      <xdr:rowOff>188148</xdr:rowOff>
    </xdr:to>
    <xdr:sp macro="" textlink="">
      <xdr:nvSpPr>
        <xdr:cNvPr id="10" name="Rectangle: Rounded Corners 9">
          <a:extLst>
            <a:ext uri="{FF2B5EF4-FFF2-40B4-BE49-F238E27FC236}">
              <a16:creationId xmlns:a16="http://schemas.microsoft.com/office/drawing/2014/main" id="{80A4F499-7A4D-4467-90BA-52C3EED08AE6}"/>
            </a:ext>
          </a:extLst>
        </xdr:cNvPr>
        <xdr:cNvSpPr/>
      </xdr:nvSpPr>
      <xdr:spPr>
        <a:xfrm>
          <a:off x="7278041" y="610541"/>
          <a:ext cx="2458625" cy="753533"/>
        </a:xfrm>
        <a:prstGeom prst="roundRect">
          <a:avLst>
            <a:gd name="adj"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latin typeface="Arial" panose="020B0604020202020204" pitchFamily="34" charset="0"/>
              <a:cs typeface="Arial" panose="020B0604020202020204" pitchFamily="34" charset="0"/>
            </a:rPr>
            <a:t>HIGH RISK PROJECTS</a:t>
          </a:r>
        </a:p>
        <a:p>
          <a:pPr algn="ctr"/>
          <a:r>
            <a:rPr lang="en-US" sz="1600" b="1">
              <a:latin typeface="Arial" panose="020B0604020202020204" pitchFamily="34" charset="0"/>
              <a:cs typeface="Arial" panose="020B0604020202020204" pitchFamily="34" charset="0"/>
            </a:rPr>
            <a:t>272</a:t>
          </a:r>
          <a:endParaRPr lang="en-NG" sz="1600" b="1">
            <a:latin typeface="Arial" panose="020B0604020202020204" pitchFamily="34" charset="0"/>
            <a:cs typeface="Arial" panose="020B0604020202020204" pitchFamily="34" charset="0"/>
          </a:endParaRPr>
        </a:p>
      </xdr:txBody>
    </xdr:sp>
    <xdr:clientData/>
  </xdr:twoCellAnchor>
  <xdr:twoCellAnchor>
    <xdr:from>
      <xdr:col>6</xdr:col>
      <xdr:colOff>92664</xdr:colOff>
      <xdr:row>2</xdr:row>
      <xdr:rowOff>22109</xdr:rowOff>
    </xdr:from>
    <xdr:to>
      <xdr:col>6</xdr:col>
      <xdr:colOff>2481204</xdr:colOff>
      <xdr:row>4</xdr:row>
      <xdr:rowOff>164630</xdr:rowOff>
    </xdr:to>
    <xdr:sp macro="" textlink="">
      <xdr:nvSpPr>
        <xdr:cNvPr id="11" name="Rectangle: Rounded Corners 10">
          <a:extLst>
            <a:ext uri="{FF2B5EF4-FFF2-40B4-BE49-F238E27FC236}">
              <a16:creationId xmlns:a16="http://schemas.microsoft.com/office/drawing/2014/main" id="{3923A479-BC35-48E0-B66E-D3C2D3CE6067}"/>
            </a:ext>
          </a:extLst>
        </xdr:cNvPr>
        <xdr:cNvSpPr/>
      </xdr:nvSpPr>
      <xdr:spPr>
        <a:xfrm>
          <a:off x="10817108" y="610072"/>
          <a:ext cx="2388540" cy="730484"/>
        </a:xfrm>
        <a:prstGeom prst="roundRect">
          <a:avLst>
            <a:gd name="adj"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latin typeface="Arial" panose="020B0604020202020204" pitchFamily="34" charset="0"/>
              <a:cs typeface="Arial" panose="020B0604020202020204" pitchFamily="34" charset="0"/>
            </a:rPr>
            <a:t>DELAYED PROJECTS</a:t>
          </a:r>
        </a:p>
        <a:p>
          <a:pPr algn="ctr"/>
          <a:r>
            <a:rPr lang="en-US" sz="1600" b="1">
              <a:latin typeface="Arial" panose="020B0604020202020204" pitchFamily="34" charset="0"/>
              <a:cs typeface="Arial" panose="020B0604020202020204" pitchFamily="34" charset="0"/>
            </a:rPr>
            <a:t>307</a:t>
          </a:r>
          <a:endParaRPr lang="en-NG" sz="1600" b="1">
            <a:latin typeface="Arial" panose="020B0604020202020204" pitchFamily="34" charset="0"/>
            <a:cs typeface="Arial" panose="020B0604020202020204" pitchFamily="34" charset="0"/>
          </a:endParaRPr>
        </a:p>
      </xdr:txBody>
    </xdr:sp>
    <xdr:clientData/>
  </xdr:twoCellAnchor>
  <xdr:twoCellAnchor editAs="oneCell">
    <xdr:from>
      <xdr:col>9</xdr:col>
      <xdr:colOff>523755</xdr:colOff>
      <xdr:row>22</xdr:row>
      <xdr:rowOff>79375</xdr:rowOff>
    </xdr:from>
    <xdr:to>
      <xdr:col>11</xdr:col>
      <xdr:colOff>172580</xdr:colOff>
      <xdr:row>29</xdr:row>
      <xdr:rowOff>54721</xdr:rowOff>
    </xdr:to>
    <mc:AlternateContent xmlns:mc="http://schemas.openxmlformats.org/markup-compatibility/2006">
      <mc:Choice xmlns:a14="http://schemas.microsoft.com/office/drawing/2010/main" Requires="a14">
        <xdr:graphicFrame macro="">
          <xdr:nvGraphicFramePr>
            <xdr:cNvPr id="12" name="BUDGET_CATEGORY">
              <a:extLst>
                <a:ext uri="{FF2B5EF4-FFF2-40B4-BE49-F238E27FC236}">
                  <a16:creationId xmlns:a16="http://schemas.microsoft.com/office/drawing/2014/main" id="{2BC98550-5DB7-4653-A941-D961D74ED82C}"/>
                </a:ext>
              </a:extLst>
            </xdr:cNvPr>
            <xdr:cNvGraphicFramePr/>
          </xdr:nvGraphicFramePr>
          <xdr:xfrm>
            <a:off x="0" y="0"/>
            <a:ext cx="0" cy="0"/>
          </xdr:xfrm>
          <a:graphic>
            <a:graphicData uri="http://schemas.microsoft.com/office/drawing/2010/slicer">
              <sle:slicer xmlns:sle="http://schemas.microsoft.com/office/drawing/2010/slicer" name="BUDGET_CATEGORY"/>
            </a:graphicData>
          </a:graphic>
        </xdr:graphicFrame>
      </mc:Choice>
      <mc:Fallback>
        <xdr:sp macro="" textlink="">
          <xdr:nvSpPr>
            <xdr:cNvPr id="0" name=""/>
            <xdr:cNvSpPr>
              <a:spLocks noTextEdit="1"/>
            </xdr:cNvSpPr>
          </xdr:nvSpPr>
          <xdr:spPr>
            <a:xfrm>
              <a:off x="15212308" y="4858586"/>
              <a:ext cx="2539746" cy="126205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504514</xdr:colOff>
      <xdr:row>14</xdr:row>
      <xdr:rowOff>39686</xdr:rowOff>
    </xdr:from>
    <xdr:to>
      <xdr:col>11</xdr:col>
      <xdr:colOff>153339</xdr:colOff>
      <xdr:row>21</xdr:row>
      <xdr:rowOff>174384</xdr:rowOff>
    </xdr:to>
    <mc:AlternateContent xmlns:mc="http://schemas.openxmlformats.org/markup-compatibility/2006">
      <mc:Choice xmlns:a14="http://schemas.microsoft.com/office/drawing/2010/main" Requires="a14">
        <xdr:graphicFrame macro="">
          <xdr:nvGraphicFramePr>
            <xdr:cNvPr id="13" name="STATUS">
              <a:extLst>
                <a:ext uri="{FF2B5EF4-FFF2-40B4-BE49-F238E27FC236}">
                  <a16:creationId xmlns:a16="http://schemas.microsoft.com/office/drawing/2014/main" id="{0318FF28-0F1B-47BE-BEF7-45B692ABEF66}"/>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15193067" y="3348370"/>
              <a:ext cx="2539746" cy="142140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505115</xdr:colOff>
      <xdr:row>4</xdr:row>
      <xdr:rowOff>110645</xdr:rowOff>
    </xdr:from>
    <xdr:to>
      <xdr:col>11</xdr:col>
      <xdr:colOff>153939</xdr:colOff>
      <xdr:row>13</xdr:row>
      <xdr:rowOff>75767</xdr:rowOff>
    </xdr:to>
    <mc:AlternateContent xmlns:mc="http://schemas.openxmlformats.org/markup-compatibility/2006">
      <mc:Choice xmlns:a14="http://schemas.microsoft.com/office/drawing/2010/main" Requires="a14">
        <xdr:graphicFrame macro="">
          <xdr:nvGraphicFramePr>
            <xdr:cNvPr id="14" name="DEPARTMENT">
              <a:extLst>
                <a:ext uri="{FF2B5EF4-FFF2-40B4-BE49-F238E27FC236}">
                  <a16:creationId xmlns:a16="http://schemas.microsoft.com/office/drawing/2014/main" id="{323E5476-2332-46D1-B46B-96ACE8DD097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5193668" y="1280382"/>
              <a:ext cx="2539745" cy="192025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46</xdr:row>
      <xdr:rowOff>11759</xdr:rowOff>
    </xdr:from>
    <xdr:to>
      <xdr:col>6</xdr:col>
      <xdr:colOff>1317037</xdr:colOff>
      <xdr:row>51</xdr:row>
      <xdr:rowOff>235185</xdr:rowOff>
    </xdr:to>
    <xdr:sp macro="" textlink="">
      <xdr:nvSpPr>
        <xdr:cNvPr id="4" name="Rectangle: Rounded Corners 3">
          <a:extLst>
            <a:ext uri="{FF2B5EF4-FFF2-40B4-BE49-F238E27FC236}">
              <a16:creationId xmlns:a16="http://schemas.microsoft.com/office/drawing/2014/main" id="{E474352C-DA03-44BE-8D60-59662260312D}"/>
            </a:ext>
          </a:extLst>
        </xdr:cNvPr>
        <xdr:cNvSpPr/>
      </xdr:nvSpPr>
      <xdr:spPr>
        <a:xfrm>
          <a:off x="0" y="8948796"/>
          <a:ext cx="12041481" cy="1575741"/>
        </a:xfrm>
        <a:prstGeom prst="roundRect">
          <a:avLst>
            <a:gd name="adj" fmla="val 0"/>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a:latin typeface="Arial" panose="020B0604020202020204" pitchFamily="34" charset="0"/>
              <a:cs typeface="Arial" panose="020B0604020202020204" pitchFamily="34" charset="0"/>
            </a:rPr>
            <a:t>KEY</a:t>
          </a:r>
        </a:p>
        <a:p>
          <a:pPr algn="l"/>
          <a:r>
            <a:rPr lang="en-US" sz="2800">
              <a:latin typeface="Arial" panose="020B0604020202020204" pitchFamily="34" charset="0"/>
              <a:cs typeface="Arial" panose="020B0604020202020204" pitchFamily="34" charset="0"/>
            </a:rPr>
            <a:t>INSIGHTS</a:t>
          </a:r>
          <a:endParaRPr lang="en-NG" sz="2800">
            <a:latin typeface="Arial" panose="020B0604020202020204" pitchFamily="34" charset="0"/>
            <a:cs typeface="Arial" panose="020B0604020202020204" pitchFamily="34" charset="0"/>
          </a:endParaRPr>
        </a:p>
      </xdr:txBody>
    </xdr:sp>
    <xdr:clientData/>
  </xdr:twoCellAnchor>
  <xdr:twoCellAnchor>
    <xdr:from>
      <xdr:col>0</xdr:col>
      <xdr:colOff>1810927</xdr:colOff>
      <xdr:row>46</xdr:row>
      <xdr:rowOff>11760</xdr:rowOff>
    </xdr:from>
    <xdr:to>
      <xdr:col>1</xdr:col>
      <xdr:colOff>1164166</xdr:colOff>
      <xdr:row>51</xdr:row>
      <xdr:rowOff>199908</xdr:rowOff>
    </xdr:to>
    <xdr:sp macro="" textlink="">
      <xdr:nvSpPr>
        <xdr:cNvPr id="5" name="Rectangle: Rounded Corners 4">
          <a:extLst>
            <a:ext uri="{FF2B5EF4-FFF2-40B4-BE49-F238E27FC236}">
              <a16:creationId xmlns:a16="http://schemas.microsoft.com/office/drawing/2014/main" id="{5DBAA93F-4DB6-4F3C-B3BC-59CDE6BF6CD6}"/>
            </a:ext>
          </a:extLst>
        </xdr:cNvPr>
        <xdr:cNvSpPr/>
      </xdr:nvSpPr>
      <xdr:spPr>
        <a:xfrm>
          <a:off x="1810927" y="8948797"/>
          <a:ext cx="1975554" cy="154046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latin typeface="Arial" panose="020B0604020202020204" pitchFamily="34" charset="0"/>
              <a:cs typeface="Arial" panose="020B0604020202020204" pitchFamily="34" charset="0"/>
            </a:rPr>
            <a:t>The Education department receives the highest budget allocation, indicating a strong focus on capital development projects.</a:t>
          </a:r>
          <a:endParaRPr lang="en-NG" sz="1200">
            <a:latin typeface="Arial" panose="020B0604020202020204" pitchFamily="34" charset="0"/>
            <a:cs typeface="Arial" panose="020B0604020202020204" pitchFamily="34" charset="0"/>
          </a:endParaRPr>
        </a:p>
      </xdr:txBody>
    </xdr:sp>
    <xdr:clientData/>
  </xdr:twoCellAnchor>
  <xdr:twoCellAnchor>
    <xdr:from>
      <xdr:col>2</xdr:col>
      <xdr:colOff>23519</xdr:colOff>
      <xdr:row>46</xdr:row>
      <xdr:rowOff>23517</xdr:rowOff>
    </xdr:from>
    <xdr:to>
      <xdr:col>2</xdr:col>
      <xdr:colOff>1987315</xdr:colOff>
      <xdr:row>51</xdr:row>
      <xdr:rowOff>235183</xdr:rowOff>
    </xdr:to>
    <xdr:sp macro="" textlink="">
      <xdr:nvSpPr>
        <xdr:cNvPr id="16" name="Rectangle: Rounded Corners 15">
          <a:extLst>
            <a:ext uri="{FF2B5EF4-FFF2-40B4-BE49-F238E27FC236}">
              <a16:creationId xmlns:a16="http://schemas.microsoft.com/office/drawing/2014/main" id="{C307861F-4F60-4CCF-A104-1893242C46AA}"/>
            </a:ext>
          </a:extLst>
        </xdr:cNvPr>
        <xdr:cNvSpPr/>
      </xdr:nvSpPr>
      <xdr:spPr>
        <a:xfrm>
          <a:off x="3845278" y="8960554"/>
          <a:ext cx="1963796" cy="156398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The Health and Education sectors show higher instances of delayed and at risk projects compared to other departments</a:t>
          </a:r>
          <a:endParaRPr lang="en-NG" sz="1100"/>
        </a:p>
      </xdr:txBody>
    </xdr:sp>
    <xdr:clientData/>
  </xdr:twoCellAnchor>
  <xdr:twoCellAnchor>
    <xdr:from>
      <xdr:col>2</xdr:col>
      <xdr:colOff>2045171</xdr:colOff>
      <xdr:row>46</xdr:row>
      <xdr:rowOff>35278</xdr:rowOff>
    </xdr:from>
    <xdr:to>
      <xdr:col>4</xdr:col>
      <xdr:colOff>682037</xdr:colOff>
      <xdr:row>51</xdr:row>
      <xdr:rowOff>199906</xdr:rowOff>
    </xdr:to>
    <xdr:sp macro="" textlink="">
      <xdr:nvSpPr>
        <xdr:cNvPr id="17" name="Rectangle: Rounded Corners 16">
          <a:extLst>
            <a:ext uri="{FF2B5EF4-FFF2-40B4-BE49-F238E27FC236}">
              <a16:creationId xmlns:a16="http://schemas.microsoft.com/office/drawing/2014/main" id="{A13775E2-E515-43DD-9036-BF42BE0E9359}"/>
            </a:ext>
          </a:extLst>
        </xdr:cNvPr>
        <xdr:cNvSpPr/>
      </xdr:nvSpPr>
      <xdr:spPr>
        <a:xfrm>
          <a:off x="5866930" y="8972315"/>
          <a:ext cx="1929459" cy="151694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 significant portion of high-budget projects fall under the "In Progress" category, sugggesting slow project execution cycles.</a:t>
          </a:r>
          <a:endParaRPr lang="en-NG" sz="1100"/>
        </a:p>
      </xdr:txBody>
    </xdr:sp>
    <xdr:clientData/>
  </xdr:twoCellAnchor>
  <xdr:twoCellAnchor>
    <xdr:from>
      <xdr:col>4</xdr:col>
      <xdr:colOff>787869</xdr:colOff>
      <xdr:row>46</xdr:row>
      <xdr:rowOff>35278</xdr:rowOff>
    </xdr:from>
    <xdr:to>
      <xdr:col>4</xdr:col>
      <xdr:colOff>2751665</xdr:colOff>
      <xdr:row>51</xdr:row>
      <xdr:rowOff>246944</xdr:rowOff>
    </xdr:to>
    <xdr:sp macro="" textlink="">
      <xdr:nvSpPr>
        <xdr:cNvPr id="19" name="Rectangle: Rounded Corners 18">
          <a:extLst>
            <a:ext uri="{FF2B5EF4-FFF2-40B4-BE49-F238E27FC236}">
              <a16:creationId xmlns:a16="http://schemas.microsoft.com/office/drawing/2014/main" id="{DB9255E1-2105-4891-9184-77762762828A}"/>
            </a:ext>
          </a:extLst>
        </xdr:cNvPr>
        <xdr:cNvSpPr/>
      </xdr:nvSpPr>
      <xdr:spPr>
        <a:xfrm>
          <a:off x="7902221" y="8972315"/>
          <a:ext cx="1963796" cy="156398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Departments with higher budget allocations do not always show better performance outcomes, indicating inefficiencies in resource utilization.</a:t>
          </a:r>
          <a:endParaRPr lang="en-NG" sz="1100"/>
        </a:p>
      </xdr:txBody>
    </xdr:sp>
    <xdr:clientData/>
  </xdr:twoCellAnchor>
  <xdr:twoCellAnchor>
    <xdr:from>
      <xdr:col>5</xdr:col>
      <xdr:colOff>23519</xdr:colOff>
      <xdr:row>46</xdr:row>
      <xdr:rowOff>1</xdr:rowOff>
    </xdr:from>
    <xdr:to>
      <xdr:col>6</xdr:col>
      <xdr:colOff>1211204</xdr:colOff>
      <xdr:row>51</xdr:row>
      <xdr:rowOff>211667</xdr:rowOff>
    </xdr:to>
    <xdr:sp macro="" textlink="">
      <xdr:nvSpPr>
        <xdr:cNvPr id="20" name="Rectangle: Rounded Corners 19">
          <a:extLst>
            <a:ext uri="{FF2B5EF4-FFF2-40B4-BE49-F238E27FC236}">
              <a16:creationId xmlns:a16="http://schemas.microsoft.com/office/drawing/2014/main" id="{031140BE-24C0-48CC-9098-FC6CA01F73A6}"/>
            </a:ext>
          </a:extLst>
        </xdr:cNvPr>
        <xdr:cNvSpPr/>
      </xdr:nvSpPr>
      <xdr:spPr>
        <a:xfrm>
          <a:off x="9971852" y="8937038"/>
          <a:ext cx="1963796" cy="156398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Risk concentration is highest in projects categorized under infrastructure and large capital expenditure programs.</a:t>
          </a:r>
          <a:endParaRPr lang="en-NG" sz="1100"/>
        </a:p>
      </xdr:txBody>
    </xdr:sp>
    <xdr:clientData/>
  </xdr:twoCellAnchor>
  <xdr:twoCellAnchor>
    <xdr:from>
      <xdr:col>6</xdr:col>
      <xdr:colOff>1726405</xdr:colOff>
      <xdr:row>46</xdr:row>
      <xdr:rowOff>39687</xdr:rowOff>
    </xdr:from>
    <xdr:to>
      <xdr:col>13</xdr:col>
      <xdr:colOff>1805780</xdr:colOff>
      <xdr:row>52</xdr:row>
      <xdr:rowOff>59531</xdr:rowOff>
    </xdr:to>
    <xdr:sp macro="" textlink="">
      <xdr:nvSpPr>
        <xdr:cNvPr id="15" name="Rectangle: Rounded Corners 14">
          <a:extLst>
            <a:ext uri="{FF2B5EF4-FFF2-40B4-BE49-F238E27FC236}">
              <a16:creationId xmlns:a16="http://schemas.microsoft.com/office/drawing/2014/main" id="{DEB44C05-C115-4252-8322-C4FCCFBD16E6}"/>
            </a:ext>
          </a:extLst>
        </xdr:cNvPr>
        <xdr:cNvSpPr/>
      </xdr:nvSpPr>
      <xdr:spPr>
        <a:xfrm>
          <a:off x="12442030" y="9088437"/>
          <a:ext cx="9902031" cy="162718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latin typeface="Arial" panose="020B0604020202020204" pitchFamily="34" charset="0"/>
              <a:cs typeface="Arial" panose="020B0604020202020204" pitchFamily="34" charset="0"/>
            </a:rPr>
            <a:t>RECOMMENDATIONS</a:t>
          </a:r>
        </a:p>
        <a:p>
          <a:pPr algn="l"/>
          <a:endParaRPr lang="en-US" sz="1600">
            <a:latin typeface="Arial" panose="020B0604020202020204" pitchFamily="34" charset="0"/>
            <a:cs typeface="Arial" panose="020B0604020202020204" pitchFamily="34" charset="0"/>
          </a:endParaRPr>
        </a:p>
        <a:p>
          <a:pPr lvl="0" algn="l"/>
          <a:r>
            <a:rPr lang="en-US" sz="1600">
              <a:latin typeface="Arial" panose="020B0604020202020204" pitchFamily="34" charset="0"/>
              <a:cs typeface="Arial" panose="020B0604020202020204" pitchFamily="34" charset="0"/>
            </a:rPr>
            <a:t>1. Reassess budget allocation efficiency to ensure funding aligns with actual project delivery performance.</a:t>
          </a:r>
        </a:p>
        <a:p>
          <a:pPr algn="l"/>
          <a:r>
            <a:rPr lang="en-US" sz="1600">
              <a:latin typeface="Arial" panose="020B0604020202020204" pitchFamily="34" charset="0"/>
              <a:cs typeface="Arial" panose="020B0604020202020204" pitchFamily="34" charset="0"/>
            </a:rPr>
            <a:t>2. Introduce risk-based project prioritization to improve allocation of resources toward high-impact, low-risk initiatives.</a:t>
          </a:r>
          <a:endParaRPr lang="en-NG" sz="1600">
            <a:latin typeface="Arial" panose="020B0604020202020204" pitchFamily="34" charset="0"/>
            <a:cs typeface="Arial" panose="020B06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92.904861226853" createdVersion="6" refreshedVersion="6" minRefreshableVersion="3" recordCount="50" xr:uid="{EFF2B1E4-0E8C-468A-B767-69E0BC525343}">
  <cacheSource type="worksheet">
    <worksheetSource name="Table3"/>
  </cacheSource>
  <cacheFields count="8">
    <cacheField name="PROJECT_ID" numFmtId="0">
      <sharedItems containsSemiMixedTypes="0" containsString="0" containsNumber="1" containsInteger="1" minValue="1" maxValue="50"/>
    </cacheField>
    <cacheField name="PROJECT_NAME" numFmtId="0">
      <sharedItems/>
    </cacheField>
    <cacheField name="BUDGET" numFmtId="0">
      <sharedItems containsSemiMixedTypes="0" containsString="0" containsNumber="1" containsInteger="1" minValue="3507651" maxValue="48734123"/>
    </cacheField>
    <cacheField name="DEPARTMENT" numFmtId="0">
      <sharedItems count="6">
        <s v="Education"/>
        <s v="Energy"/>
        <s v="Agriculture"/>
        <s v="Health"/>
        <s v="Infrastructure"/>
        <s v="ICT"/>
      </sharedItems>
    </cacheField>
    <cacheField name="STATUS" numFmtId="0">
      <sharedItems count="4">
        <s v="In Progress"/>
        <s v="Delayed"/>
        <s v="Completed"/>
        <s v="At Risk"/>
      </sharedItems>
    </cacheField>
    <cacheField name="BUDGET_CATEGORY" numFmtId="0">
      <sharedItems count="3">
        <s v="Medium Budget"/>
        <s v="Low Budget"/>
        <s v="High Budget"/>
      </sharedItems>
    </cacheField>
    <cacheField name="PERFOMANCE_FLAG" numFmtId="0">
      <sharedItems/>
    </cacheField>
    <cacheField name="Avg_Budget_per_project" numFmtId="0" formula="BUDGET/PROJECT_ID" databaseField="0"/>
  </cacheFields>
  <extLst>
    <ext xmlns:x14="http://schemas.microsoft.com/office/spreadsheetml/2009/9/main" uri="{725AE2AE-9491-48be-B2B4-4EB974FC3084}">
      <x14:pivotCacheDefinition pivotCacheId="1496418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
    <s v="ROAD CONSTRUCTION. SCHOOL RENOVATION. HOSPITAL UPGRADE. WATER SUPPLY PROJECT. RURAL ELECTRIFICATION"/>
    <n v="17178833"/>
    <x v="0"/>
    <x v="0"/>
    <x v="0"/>
    <s v="On Track"/>
  </r>
  <r>
    <n v="2"/>
    <s v="ROAD CONSTRUCTION. SCHOOL RENOVATION. HOSPITAL UPGRADE. WATER SUPPLY PROJECT. RURAL ELECTRIFICATION"/>
    <n v="5889621"/>
    <x v="1"/>
    <x v="1"/>
    <x v="1"/>
    <s v="Risk"/>
  </r>
  <r>
    <n v="3"/>
    <s v="ROAD CONSTRUCTION. SCHOOL RENOVATION. HOSPITAL UPGRADE. WATER SUPPLY PROJECT. RURAL ELECTRIFICATION"/>
    <n v="6304150"/>
    <x v="0"/>
    <x v="2"/>
    <x v="1"/>
    <s v="Success"/>
  </r>
  <r>
    <n v="4"/>
    <s v="ROAD CONSTRUCTION. SCHOOL RENOVATION. HOSPITAL UPGRADE. WATER SUPPLY PROJECT. RURAL ELECTRIFICATION"/>
    <n v="17788390"/>
    <x v="1"/>
    <x v="0"/>
    <x v="0"/>
    <s v="On Track"/>
  </r>
  <r>
    <n v="5"/>
    <s v="ROAD CONSTRUCTION. SCHOOL RENOVATION. HOSPITAL UPGRADE. WATER SUPPLY PROJECT. RURAL ELECTRIFICATION"/>
    <n v="14274365"/>
    <x v="0"/>
    <x v="0"/>
    <x v="0"/>
    <s v="On Track"/>
  </r>
  <r>
    <n v="6"/>
    <s v="ROAD CONSTRUCTION. SCHOOL RENOVATION. HOSPITAL UPGRADE. WATER SUPPLY PROJECT. RURAL ELECTRIFICATION"/>
    <n v="46051067"/>
    <x v="2"/>
    <x v="1"/>
    <x v="2"/>
    <s v="Risk"/>
  </r>
  <r>
    <n v="7"/>
    <s v="ROAD CONSTRUCTION. SCHOOL RENOVATION. HOSPITAL UPGRADE. WATER SUPPLY PROJECT. RURAL ELECTRIFICATION"/>
    <n v="48583841"/>
    <x v="2"/>
    <x v="0"/>
    <x v="2"/>
    <s v="On Track"/>
  </r>
  <r>
    <n v="8"/>
    <s v="ROAD CONSTRUCTION. SCHOOL RENOVATION. HOSPITAL UPGRADE. WATER SUPPLY PROJECT. RURAL ELECTRIFICATION"/>
    <n v="13525536"/>
    <x v="3"/>
    <x v="1"/>
    <x v="0"/>
    <s v="Risk"/>
  </r>
  <r>
    <n v="9"/>
    <s v="ROAD CONSTRUCTION. SCHOOL RENOVATION. HOSPITAL UPGRADE. WATER SUPPLY PROJECT. RURAL ELECTRIFICATION"/>
    <n v="17192858"/>
    <x v="4"/>
    <x v="0"/>
    <x v="0"/>
    <s v="On Track"/>
  </r>
  <r>
    <n v="10"/>
    <s v="ROAD CONSTRUCTION. SCHOOL RENOVATION. HOSPITAL UPGRADE. WATER SUPPLY PROJECT. RURAL ELECTRIFICATION"/>
    <n v="16147546"/>
    <x v="2"/>
    <x v="0"/>
    <x v="0"/>
    <s v="On Track"/>
  </r>
  <r>
    <n v="11"/>
    <s v="ROAD CONSTRUCTION. SCHOOL RENOVATION. HOSPITAL UPGRADE. WATER SUPPLY PROJECT. RURAL ELECTRIFICATION"/>
    <n v="46247298"/>
    <x v="2"/>
    <x v="3"/>
    <x v="2"/>
    <s v="Critical"/>
  </r>
  <r>
    <n v="12"/>
    <s v="ROAD CONSTRUCTION. SCHOOL RENOVATION. HOSPITAL UPGRADE. WATER SUPPLY PROJECT. RURAL ELECTRIFICATION"/>
    <n v="33701885"/>
    <x v="0"/>
    <x v="2"/>
    <x v="2"/>
    <s v="Success"/>
  </r>
  <r>
    <n v="13"/>
    <s v="ROAD CONSTRUCTION. SCHOOL RENOVATION. HOSPITAL UPGRADE. WATER SUPPLY PROJECT. RURAL ELECTRIFICATION"/>
    <n v="45790775"/>
    <x v="5"/>
    <x v="1"/>
    <x v="2"/>
    <s v="Risk"/>
  </r>
  <r>
    <n v="14"/>
    <s v="ROAD CONSTRUCTION. SCHOOL RENOVATION. HOSPITAL UPGRADE. WATER SUPPLY PROJECT. RURAL ELECTRIFICATION"/>
    <n v="45825104"/>
    <x v="4"/>
    <x v="1"/>
    <x v="2"/>
    <s v="Risk"/>
  </r>
  <r>
    <n v="15"/>
    <s v="ROAD CONSTRUCTION. SCHOOL RENOVATION. HOSPITAL UPGRADE. WATER SUPPLY PROJECT. RURAL ELECTRIFICATION"/>
    <n v="40076754"/>
    <x v="5"/>
    <x v="2"/>
    <x v="2"/>
    <s v="Success"/>
  </r>
  <r>
    <n v="16"/>
    <s v="ROAD CONSTRUCTION. SCHOOL RENOVATION. HOSPITAL UPGRADE. WATER SUPPLY PROJECT. RURAL ELECTRIFICATION"/>
    <n v="31138581"/>
    <x v="3"/>
    <x v="3"/>
    <x v="2"/>
    <s v="Critical"/>
  </r>
  <r>
    <n v="17"/>
    <s v="ROAD CONSTRUCTION. SCHOOL RENOVATION. HOSPITAL UPGRADE. WATER SUPPLY PROJECT. RURAL ELECTRIFICATION"/>
    <n v="7867858"/>
    <x v="0"/>
    <x v="1"/>
    <x v="1"/>
    <s v="Risk"/>
  </r>
  <r>
    <n v="18"/>
    <s v="ROAD CONSTRUCTION. SCHOOL RENOVATION. HOSPITAL UPGRADE. WATER SUPPLY PROJECT. RURAL ELECTRIFICATION"/>
    <n v="3507651"/>
    <x v="2"/>
    <x v="1"/>
    <x v="1"/>
    <s v="Risk"/>
  </r>
  <r>
    <n v="19"/>
    <s v="ROAD CONSTRUCTION. SCHOOL RENOVATION. HOSPITAL UPGRADE. WATER SUPPLY PROJECT. RURAL ELECTRIFICATION"/>
    <n v="47519560"/>
    <x v="5"/>
    <x v="1"/>
    <x v="2"/>
    <s v="Risk"/>
  </r>
  <r>
    <n v="20"/>
    <s v="ROAD CONSTRUCTION. SCHOOL RENOVATION. HOSPITAL UPGRADE. WATER SUPPLY PROJECT. RURAL ELECTRIFICATION"/>
    <n v="48589498"/>
    <x v="4"/>
    <x v="2"/>
    <x v="2"/>
    <s v="Success"/>
  </r>
  <r>
    <n v="21"/>
    <s v="ROAD CONSTRUCTION. SCHOOL RENOVATION. HOSPITAL UPGRADE. WATER SUPPLY PROJECT. RURAL ELECTRIFICATION"/>
    <n v="39903647"/>
    <x v="0"/>
    <x v="2"/>
    <x v="2"/>
    <s v="Success"/>
  </r>
  <r>
    <n v="22"/>
    <s v="ROAD CONSTRUCTION. SCHOOL RENOVATION. HOSPITAL UPGRADE. WATER SUPPLY PROJECT. RURAL ELECTRIFICATION"/>
    <n v="33925855"/>
    <x v="4"/>
    <x v="2"/>
    <x v="2"/>
    <s v="Success"/>
  </r>
  <r>
    <n v="23"/>
    <s v="ROAD CONSTRUCTION. SCHOOL RENOVATION. HOSPITAL UPGRADE. WATER SUPPLY PROJECT. RURAL ELECTRIFICATION"/>
    <n v="47800471"/>
    <x v="2"/>
    <x v="3"/>
    <x v="2"/>
    <s v="Critical"/>
  </r>
  <r>
    <n v="24"/>
    <s v="ROAD CONSTRUCTION. SCHOOL RENOVATION. HOSPITAL UPGRADE. WATER SUPPLY PROJECT. RURAL ELECTRIFICATION"/>
    <n v="45866422"/>
    <x v="3"/>
    <x v="0"/>
    <x v="2"/>
    <s v="On Track"/>
  </r>
  <r>
    <n v="25"/>
    <s v="ROAD CONSTRUCTION. SCHOOL RENOVATION. HOSPITAL UPGRADE. WATER SUPPLY PROJECT. RURAL ELECTRIFICATION"/>
    <n v="31345652"/>
    <x v="4"/>
    <x v="3"/>
    <x v="2"/>
    <s v="Critical"/>
  </r>
  <r>
    <n v="26"/>
    <s v="ROAD CONSTRUCTION. SCHOOL RENOVATION. HOSPITAL UPGRADE. WATER SUPPLY PROJECT. RURAL ELECTRIFICATION"/>
    <n v="22747537"/>
    <x v="5"/>
    <x v="0"/>
    <x v="0"/>
    <s v="On Track"/>
  </r>
  <r>
    <n v="27"/>
    <s v="ROAD CONSTRUCTION. SCHOOL RENOVATION. HOSPITAL UPGRADE. WATER SUPPLY PROJECT. RURAL ELECTRIFICATION"/>
    <n v="25375572"/>
    <x v="5"/>
    <x v="3"/>
    <x v="0"/>
    <s v="Critical"/>
  </r>
  <r>
    <n v="28"/>
    <s v="ROAD CONSTRUCTION. SCHOOL RENOVATION. HOSPITAL UPGRADE. WATER SUPPLY PROJECT. RURAL ELECTRIFICATION"/>
    <n v="40200196"/>
    <x v="0"/>
    <x v="2"/>
    <x v="2"/>
    <s v="Success"/>
  </r>
  <r>
    <n v="29"/>
    <s v="ROAD CONSTRUCTION. SCHOOL RENOVATION. HOSPITAL UPGRADE. WATER SUPPLY PROJECT. RURAL ELECTRIFICATION"/>
    <n v="10226481"/>
    <x v="1"/>
    <x v="1"/>
    <x v="0"/>
    <s v="Risk"/>
  </r>
  <r>
    <n v="30"/>
    <s v="ROAD CONSTRUCTION. SCHOOL RENOVATION. HOSPITAL UPGRADE. WATER SUPPLY PROJECT. RURAL ELECTRIFICATION"/>
    <n v="42896352"/>
    <x v="3"/>
    <x v="0"/>
    <x v="2"/>
    <s v="On Track"/>
  </r>
  <r>
    <n v="31"/>
    <s v="ROAD CONSTRUCTION. SCHOOL RENOVATION. HOSPITAL UPGRADE. WATER SUPPLY PROJECT. RURAL ELECTRIFICATION"/>
    <n v="35949895"/>
    <x v="5"/>
    <x v="2"/>
    <x v="2"/>
    <s v="Success"/>
  </r>
  <r>
    <n v="32"/>
    <s v="ROAD CONSTRUCTION. SCHOOL RENOVATION. HOSPITAL UPGRADE. WATER SUPPLY PROJECT. RURAL ELECTRIFICATION"/>
    <n v="9582544"/>
    <x v="4"/>
    <x v="0"/>
    <x v="1"/>
    <s v="On Track"/>
  </r>
  <r>
    <n v="33"/>
    <s v="ROAD CONSTRUCTION. SCHOOL RENOVATION. HOSPITAL UPGRADE. WATER SUPPLY PROJECT. RURAL ELECTRIFICATION"/>
    <n v="12284078"/>
    <x v="5"/>
    <x v="1"/>
    <x v="0"/>
    <s v="Risk"/>
  </r>
  <r>
    <n v="34"/>
    <s v="ROAD CONSTRUCTION. SCHOOL RENOVATION. HOSPITAL UPGRADE. WATER SUPPLY PROJECT. RURAL ELECTRIFICATION"/>
    <n v="21110529"/>
    <x v="1"/>
    <x v="1"/>
    <x v="0"/>
    <s v="Risk"/>
  </r>
  <r>
    <n v="35"/>
    <s v="ROAD CONSTRUCTION. SCHOOL RENOVATION. HOSPITAL UPGRADE. WATER SUPPLY PROJECT. RURAL ELECTRIFICATION"/>
    <n v="35605196"/>
    <x v="0"/>
    <x v="3"/>
    <x v="2"/>
    <s v="Critical"/>
  </r>
  <r>
    <n v="36"/>
    <s v="ROAD CONSTRUCTION. SCHOOL RENOVATION. HOSPITAL UPGRADE. WATER SUPPLY PROJECT. RURAL ELECTRIFICATION"/>
    <n v="45858810"/>
    <x v="2"/>
    <x v="1"/>
    <x v="2"/>
    <s v="Risk"/>
  </r>
  <r>
    <n v="37"/>
    <s v="ROAD CONSTRUCTION. SCHOOL RENOVATION. HOSPITAL UPGRADE. WATER SUPPLY PROJECT. RURAL ELECTRIFICATION"/>
    <n v="21770343"/>
    <x v="4"/>
    <x v="1"/>
    <x v="0"/>
    <s v="Risk"/>
  </r>
  <r>
    <n v="38"/>
    <s v="ROAD CONSTRUCTION. SCHOOL RENOVATION. HOSPITAL UPGRADE. WATER SUPPLY PROJECT. RURAL ELECTRIFICATION"/>
    <n v="14157223"/>
    <x v="3"/>
    <x v="2"/>
    <x v="0"/>
    <s v="Success"/>
  </r>
  <r>
    <n v="39"/>
    <s v="ROAD CONSTRUCTION. SCHOOL RENOVATION. HOSPITAL UPGRADE. WATER SUPPLY PROJECT. RURAL ELECTRIFICATION"/>
    <n v="41959924"/>
    <x v="0"/>
    <x v="3"/>
    <x v="2"/>
    <s v="Critical"/>
  </r>
  <r>
    <n v="40"/>
    <s v="ROAD CONSTRUCTION. SCHOOL RENOVATION. HOSPITAL UPGRADE. WATER SUPPLY PROJECT. RURAL ELECTRIFICATION"/>
    <n v="21922828"/>
    <x v="3"/>
    <x v="2"/>
    <x v="0"/>
    <s v="Success"/>
  </r>
  <r>
    <n v="41"/>
    <s v="ROAD CONSTRUCTION. SCHOOL RENOVATION. HOSPITAL UPGRADE. WATER SUPPLY PROJECT. RURAL ELECTRIFICATION"/>
    <n v="47563547"/>
    <x v="5"/>
    <x v="1"/>
    <x v="2"/>
    <s v="Risk"/>
  </r>
  <r>
    <n v="42"/>
    <s v="ROAD CONSTRUCTION. SCHOOL RENOVATION. HOSPITAL UPGRADE. WATER SUPPLY PROJECT. RURAL ELECTRIFICATION"/>
    <n v="12216230"/>
    <x v="4"/>
    <x v="2"/>
    <x v="0"/>
    <s v="Success"/>
  </r>
  <r>
    <n v="43"/>
    <s v="ROAD CONSTRUCTION. SCHOOL RENOVATION. HOSPITAL UPGRADE. WATER SUPPLY PROJECT. RURAL ELECTRIFICATION"/>
    <n v="21205673"/>
    <x v="3"/>
    <x v="2"/>
    <x v="0"/>
    <s v="Success"/>
  </r>
  <r>
    <n v="44"/>
    <s v="ROAD CONSTRUCTION. SCHOOL RENOVATION. HOSPITAL UPGRADE. WATER SUPPLY PROJECT. RURAL ELECTRIFICATION"/>
    <n v="41611601"/>
    <x v="5"/>
    <x v="2"/>
    <x v="2"/>
    <s v="Success"/>
  </r>
  <r>
    <n v="45"/>
    <s v="ROAD CONSTRUCTION. SCHOOL RENOVATION. HOSPITAL UPGRADE. WATER SUPPLY PROJECT. RURAL ELECTRIFICATION"/>
    <n v="48734123"/>
    <x v="0"/>
    <x v="2"/>
    <x v="2"/>
    <s v="Success"/>
  </r>
  <r>
    <n v="46"/>
    <s v="ROAD CONSTRUCTION. SCHOOL RENOVATION. HOSPITAL UPGRADE. WATER SUPPLY PROJECT. RURAL ELECTRIFICATION"/>
    <n v="36380826"/>
    <x v="0"/>
    <x v="0"/>
    <x v="2"/>
    <s v="On Track"/>
  </r>
  <r>
    <n v="47"/>
    <s v="ROAD CONSTRUCTION. SCHOOL RENOVATION. HOSPITAL UPGRADE. WATER SUPPLY PROJECT. RURAL ELECTRIFICATION"/>
    <n v="19676081"/>
    <x v="0"/>
    <x v="3"/>
    <x v="0"/>
    <s v="Critical"/>
  </r>
  <r>
    <n v="48"/>
    <s v="ROAD CONSTRUCTION. SCHOOL RENOVATION. HOSPITAL UPGRADE. WATER SUPPLY PROJECT. RURAL ELECTRIFICATION"/>
    <n v="11494852"/>
    <x v="4"/>
    <x v="2"/>
    <x v="0"/>
    <s v="Success"/>
  </r>
  <r>
    <n v="49"/>
    <s v="ROAD CONSTRUCTION. SCHOOL RENOVATION. HOSPITAL UPGRADE. WATER SUPPLY PROJECT. RURAL ELECTRIFICATION"/>
    <n v="14209652"/>
    <x v="2"/>
    <x v="3"/>
    <x v="0"/>
    <s v="Critical"/>
  </r>
  <r>
    <n v="50"/>
    <s v="ROAD CONSTRUCTION. SCHOOL RENOVATION. HOSPITAL UPGRADE. WATER SUPPLY PROJECT. RURAL ELECTRIFICATION"/>
    <n v="17789651"/>
    <x v="1"/>
    <x v="0"/>
    <x v="0"/>
    <s v="On Trac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87AEDD-B58D-4B90-8EF1-E58A4B0E9AA9}"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4" rowHeaderCaption="DEPARTMENTS">
  <location ref="A3:B10" firstHeaderRow="1" firstDataRow="1" firstDataCol="1"/>
  <pivotFields count="8">
    <pivotField showAll="0" defaultSubtotal="0"/>
    <pivotField showAll="0" defaultSubtotal="0"/>
    <pivotField dataField="1" showAll="0" defaultSubtotal="0"/>
    <pivotField axis="axisRow" showAll="0" sortType="descending" defaultSubtotal="0">
      <items count="6">
        <item x="2"/>
        <item x="0"/>
        <item x="1"/>
        <item x="3"/>
        <item x="5"/>
        <item x="4"/>
      </items>
      <autoSortScope>
        <pivotArea dataOnly="0" outline="0" fieldPosition="0">
          <references count="1">
            <reference field="4294967294" count="1" selected="0">
              <x v="0"/>
            </reference>
          </references>
        </pivotArea>
      </autoSortScope>
    </pivotField>
    <pivotField showAll="0" defaultSubtotal="0">
      <items count="4">
        <item x="3"/>
        <item x="2"/>
        <item x="1"/>
        <item x="0"/>
      </items>
    </pivotField>
    <pivotField showAll="0" defaultSubtotal="0">
      <items count="3">
        <item x="2"/>
        <item x="1"/>
        <item x="0"/>
      </items>
    </pivotField>
    <pivotField showAll="0" defaultSubtotal="0"/>
    <pivotField subtotalTop="0" dragToRow="0" dragToCol="0" dragToPage="0" showAll="0" defaultSubtotal="0"/>
  </pivotFields>
  <rowFields count="1">
    <field x="3"/>
  </rowFields>
  <rowItems count="7">
    <i>
      <x v="1"/>
    </i>
    <i>
      <x v="4"/>
    </i>
    <i>
      <x/>
    </i>
    <i>
      <x v="5"/>
    </i>
    <i>
      <x v="3"/>
    </i>
    <i>
      <x v="2"/>
    </i>
    <i t="grand">
      <x/>
    </i>
  </rowItems>
  <colItems count="1">
    <i/>
  </colItems>
  <dataFields count="1">
    <dataField name="Sum of BUDGET" fld="2" baseField="0" baseItem="0" numFmtId="165"/>
  </dataFields>
  <formats count="12">
    <format dxfId="120">
      <pivotArea collapsedLevelsAreSubtotals="1" fieldPosition="0">
        <references count="1">
          <reference field="3" count="1">
            <x v="0"/>
          </reference>
        </references>
      </pivotArea>
    </format>
    <format dxfId="121">
      <pivotArea dataOnly="0" labelOnly="1" outline="0" axis="axisValues" fieldPosition="0"/>
    </format>
    <format dxfId="122">
      <pivotArea outline="0" fieldPosition="0">
        <references count="1">
          <reference field="4294967294" count="1">
            <x v="0"/>
          </reference>
        </references>
      </pivotArea>
    </format>
    <format dxfId="123">
      <pivotArea collapsedLevelsAreSubtotals="1" fieldPosition="0">
        <references count="1">
          <reference field="3" count="1">
            <x v="1"/>
          </reference>
        </references>
      </pivotArea>
    </format>
    <format dxfId="124">
      <pivotArea collapsedLevelsAreSubtotals="1" fieldPosition="0">
        <references count="1">
          <reference field="3" count="1">
            <x v="4"/>
          </reference>
        </references>
      </pivotArea>
    </format>
    <format dxfId="125">
      <pivotArea collapsedLevelsAreSubtotals="1" fieldPosition="0">
        <references count="1">
          <reference field="3" count="1">
            <x v="0"/>
          </reference>
        </references>
      </pivotArea>
    </format>
    <format dxfId="126">
      <pivotArea collapsedLevelsAreSubtotals="1" fieldPosition="0">
        <references count="1">
          <reference field="3" count="1">
            <x v="5"/>
          </reference>
        </references>
      </pivotArea>
    </format>
    <format dxfId="127">
      <pivotArea collapsedLevelsAreSubtotals="1" fieldPosition="0">
        <references count="1">
          <reference field="3" count="1">
            <x v="3"/>
          </reference>
        </references>
      </pivotArea>
    </format>
    <format dxfId="128">
      <pivotArea collapsedLevelsAreSubtotals="1" fieldPosition="0">
        <references count="1">
          <reference field="3" count="1">
            <x v="2"/>
          </reference>
        </references>
      </pivotArea>
    </format>
    <format dxfId="129">
      <pivotArea dataOnly="0" labelOnly="1" fieldPosition="0">
        <references count="1">
          <reference field="3" count="0"/>
        </references>
      </pivotArea>
    </format>
    <format dxfId="130">
      <pivotArea dataOnly="0" labelOnly="1" outline="0" axis="axisValues" fieldPosition="0"/>
    </format>
    <format dxfId="131">
      <pivotArea field="3" type="button" dataOnly="0" labelOnly="1" outline="0" axis="axisRow" fieldPosition="0"/>
    </format>
  </formats>
  <chartFormats count="1">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3B2B77-9E1F-40AB-A83B-D77E2D8212EF}"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Departments" colHeaderCaption="">
  <location ref="A3:F11" firstHeaderRow="1" firstDataRow="2" firstDataCol="1"/>
  <pivotFields count="8">
    <pivotField dataField="1" showAll="0"/>
    <pivotField showAll="0"/>
    <pivotField showAll="0"/>
    <pivotField axis="axisRow" showAll="0" sortType="ascending">
      <items count="7">
        <item x="2"/>
        <item x="0"/>
        <item x="1"/>
        <item x="3"/>
        <item x="5"/>
        <item x="4"/>
        <item t="default"/>
      </items>
    </pivotField>
    <pivotField axis="axisCol" showAll="0">
      <items count="5">
        <item x="3"/>
        <item x="2"/>
        <item x="1"/>
        <item x="0"/>
        <item t="default"/>
      </items>
    </pivotField>
    <pivotField showAll="0">
      <items count="4">
        <item x="2"/>
        <item x="1"/>
        <item x="0"/>
        <item t="default"/>
      </items>
    </pivotField>
    <pivotField showAll="0"/>
    <pivotField dragToRow="0" dragToCol="0" dragToPage="0" showAll="0" defaultSubtotal="0"/>
  </pivotFields>
  <rowFields count="1">
    <field x="3"/>
  </rowFields>
  <rowItems count="7">
    <i>
      <x/>
    </i>
    <i>
      <x v="1"/>
    </i>
    <i>
      <x v="2"/>
    </i>
    <i>
      <x v="3"/>
    </i>
    <i>
      <x v="4"/>
    </i>
    <i>
      <x v="5"/>
    </i>
    <i t="grand">
      <x/>
    </i>
  </rowItems>
  <colFields count="1">
    <field x="4"/>
  </colFields>
  <colItems count="5">
    <i>
      <x/>
    </i>
    <i>
      <x v="1"/>
    </i>
    <i>
      <x v="2"/>
    </i>
    <i>
      <x v="3"/>
    </i>
    <i t="grand">
      <x/>
    </i>
  </colItems>
  <dataFields count="1">
    <dataField name="Sum of PROJECT_ID" fld="0" baseField="0" baseItem="0"/>
  </dataFields>
  <conditionalFormats count="4">
    <conditionalFormat priority="1">
      <pivotAreas count="1">
        <pivotArea type="data" collapsedLevelsAreSubtotals="1" fieldPosition="0">
          <references count="3">
            <reference field="4294967294" count="1" selected="0">
              <x v="0"/>
            </reference>
            <reference field="3" count="6">
              <x v="0"/>
              <x v="1"/>
              <x v="2"/>
              <x v="3"/>
              <x v="4"/>
              <x v="5"/>
            </reference>
            <reference field="4" count="4" selected="0">
              <x v="0"/>
              <x v="1"/>
              <x v="2"/>
              <x v="3"/>
            </reference>
          </references>
        </pivotArea>
      </pivotAreas>
    </conditionalFormat>
    <conditionalFormat priority="2">
      <pivotAreas count="1">
        <pivotArea type="data" collapsedLevelsAreSubtotals="1" fieldPosition="0">
          <references count="3">
            <reference field="4294967294" count="1" selected="0">
              <x v="0"/>
            </reference>
            <reference field="3" count="6">
              <x v="0"/>
              <x v="1"/>
              <x v="2"/>
              <x v="3"/>
              <x v="4"/>
              <x v="5"/>
            </reference>
            <reference field="4" count="4" selected="0">
              <x v="0"/>
              <x v="1"/>
              <x v="2"/>
              <x v="3"/>
            </reference>
          </references>
        </pivotArea>
      </pivotAreas>
    </conditionalFormat>
    <conditionalFormat priority="3">
      <pivotAreas count="1">
        <pivotArea type="data" collapsedLevelsAreSubtotals="1" fieldPosition="0">
          <references count="3">
            <reference field="4294967294" count="1" selected="0">
              <x v="0"/>
            </reference>
            <reference field="3" count="6">
              <x v="0"/>
              <x v="1"/>
              <x v="2"/>
              <x v="3"/>
              <x v="4"/>
              <x v="5"/>
            </reference>
            <reference field="4" count="4" selected="0">
              <x v="0"/>
              <x v="1"/>
              <x v="2"/>
              <x v="3"/>
            </reference>
          </references>
        </pivotArea>
      </pivotAreas>
    </conditionalFormat>
    <conditionalFormat priority="4">
      <pivotAreas count="1">
        <pivotArea type="data" collapsedLevelsAreSubtotals="1" fieldPosition="0">
          <references count="3">
            <reference field="4294967294" count="1" selected="0">
              <x v="0"/>
            </reference>
            <reference field="3" count="6">
              <x v="0"/>
              <x v="1"/>
              <x v="2"/>
              <x v="3"/>
              <x v="4"/>
              <x v="5"/>
            </reference>
            <reference field="4" count="4" selected="0">
              <x v="0"/>
              <x v="1"/>
              <x v="2"/>
              <x v="3"/>
            </reference>
          </references>
        </pivotArea>
      </pivotAreas>
    </conditionalFormat>
  </conditionalFormats>
  <chartFormats count="4">
    <chartFormat chart="5" format="16" series="1">
      <pivotArea type="data" outline="0" fieldPosition="0">
        <references count="2">
          <reference field="4294967294" count="1" selected="0">
            <x v="0"/>
          </reference>
          <reference field="4" count="1" selected="0">
            <x v="0"/>
          </reference>
        </references>
      </pivotArea>
    </chartFormat>
    <chartFormat chart="5" format="17" series="1">
      <pivotArea type="data" outline="0" fieldPosition="0">
        <references count="2">
          <reference field="4294967294" count="1" selected="0">
            <x v="0"/>
          </reference>
          <reference field="4" count="1" selected="0">
            <x v="1"/>
          </reference>
        </references>
      </pivotArea>
    </chartFormat>
    <chartFormat chart="5" format="18" series="1">
      <pivotArea type="data" outline="0" fieldPosition="0">
        <references count="2">
          <reference field="4294967294" count="1" selected="0">
            <x v="0"/>
          </reference>
          <reference field="4" count="1" selected="0">
            <x v="2"/>
          </reference>
        </references>
      </pivotArea>
    </chartFormat>
    <chartFormat chart="5" format="19"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964691-9149-4841-B9D1-19806F4DA5FD}"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rowHeaderCaption="DEPARTMENTS">
  <location ref="A3:D10" firstHeaderRow="0" firstDataRow="1" firstDataCol="1"/>
  <pivotFields count="8">
    <pivotField dataField="1" showAll="0"/>
    <pivotField showAll="0"/>
    <pivotField dataField="1" showAll="0"/>
    <pivotField axis="axisRow" showAll="0" sortType="descending">
      <items count="7">
        <item x="2"/>
        <item x="0"/>
        <item x="1"/>
        <item x="3"/>
        <item x="5"/>
        <item x="4"/>
        <item t="default"/>
      </items>
      <autoSortScope>
        <pivotArea dataOnly="0" outline="0" fieldPosition="0">
          <references count="1">
            <reference field="4294967294" count="1" selected="0">
              <x v="0"/>
            </reference>
          </references>
        </pivotArea>
      </autoSortScope>
    </pivotField>
    <pivotField showAll="0">
      <items count="5">
        <item x="3"/>
        <item x="2"/>
        <item x="1"/>
        <item x="0"/>
        <item t="default"/>
      </items>
    </pivotField>
    <pivotField showAll="0">
      <items count="4">
        <item x="2"/>
        <item x="1"/>
        <item x="0"/>
        <item t="default"/>
      </items>
    </pivotField>
    <pivotField showAll="0"/>
    <pivotField dataField="1" dragToRow="0" dragToCol="0" dragToPage="0" showAll="0" defaultSubtotal="0"/>
  </pivotFields>
  <rowFields count="1">
    <field x="3"/>
  </rowFields>
  <rowItems count="7">
    <i>
      <x v="1"/>
    </i>
    <i>
      <x v="4"/>
    </i>
    <i>
      <x/>
    </i>
    <i>
      <x v="5"/>
    </i>
    <i>
      <x v="3"/>
    </i>
    <i>
      <x v="2"/>
    </i>
    <i t="grand">
      <x/>
    </i>
  </rowItems>
  <colFields count="1">
    <field x="-2"/>
  </colFields>
  <colItems count="3">
    <i>
      <x/>
    </i>
    <i i="1">
      <x v="1"/>
    </i>
    <i i="2">
      <x v="2"/>
    </i>
  </colItems>
  <dataFields count="3">
    <dataField name="Sum of BUDGET" fld="2" baseField="0" baseItem="0" numFmtId="165"/>
    <dataField name="Count of PROJECT_ID" fld="0" baseField="3" baseItem="0"/>
    <dataField name="Sum of Avg_Budget_per_project" fld="7" baseField="0" baseItem="0" numFmtId="165"/>
  </dataFields>
  <formats count="3">
    <format dxfId="132">
      <pivotArea outline="0" collapsedLevelsAreSubtotals="1" fieldPosition="0"/>
    </format>
    <format dxfId="133">
      <pivotArea dataOnly="0" labelOnly="1" fieldPosition="0">
        <references count="1">
          <reference field="3" count="0"/>
        </references>
      </pivotArea>
    </format>
    <format dxfId="134">
      <pivotArea dataOnly="0" labelOnly="1" grandRow="1" outline="0" fieldPosition="0"/>
    </format>
  </formats>
  <chartFormats count="3">
    <chartFormat chart="6" format="12" series="1">
      <pivotArea type="data" outline="0" fieldPosition="0">
        <references count="1">
          <reference field="4294967294" count="1" selected="0">
            <x v="0"/>
          </reference>
        </references>
      </pivotArea>
    </chartFormat>
    <chartFormat chart="6" format="13" series="1">
      <pivotArea type="data" outline="0" fieldPosition="0">
        <references count="1">
          <reference field="4294967294" count="1" selected="0">
            <x v="1"/>
          </reference>
        </references>
      </pivotArea>
    </chartFormat>
    <chartFormat chart="6"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DGET_CATEGORY" xr10:uid="{8200169F-8152-4F51-A381-79B49A1953C9}" sourceName="BUDGET_CATEGORY">
  <pivotTables>
    <pivotTable tabId="5" name="PivotTable3"/>
    <pivotTable tabId="2" name="PivotTable1"/>
    <pivotTable tabId="3" name="PivotTable2"/>
  </pivotTables>
  <data>
    <tabular pivotCacheId="149641876">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672AFC39-E92F-4317-A2D8-E556AA184563}" sourceName="STATUS">
  <pivotTables>
    <pivotTable tabId="5" name="PivotTable3"/>
    <pivotTable tabId="2" name="PivotTable1"/>
    <pivotTable tabId="3" name="PivotTable2"/>
  </pivotTables>
  <data>
    <tabular pivotCacheId="149641876">
      <items count="4">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059A329-05BA-45F4-AB5D-B2206153EEF1}" sourceName="DEPARTMENT">
  <pivotTables>
    <pivotTable tabId="5" name="PivotTable3"/>
    <pivotTable tabId="2" name="PivotTable1"/>
    <pivotTable tabId="3" name="PivotTable2"/>
  </pivotTables>
  <data>
    <tabular pivotCacheId="149641876">
      <items count="6">
        <i x="2" s="1"/>
        <i x="0" s="1"/>
        <i x="1" s="1"/>
        <i x="3" s="1"/>
        <i x="5"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DGET_CATEGORY" xr10:uid="{AFFEB941-A101-4F94-A923-3A3A479301F5}" cache="Slicer_BUDGET_CATEGORY" caption="BUDGET_CATEGORY" rowHeight="230716"/>
  <slicer name="STATUS" xr10:uid="{30A62336-27D6-428E-AF44-65CAB303C54B}" cache="Slicer_STATUS" caption="STATUS" rowHeight="230716"/>
  <slicer name="DEPARTMENT" xr10:uid="{C95AAD8F-E5AC-487E-B068-2AB9E8EB86AA}" cache="Slicer_DEPARTMENT" caption="DEPARTMENT"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2D9C13A-C32C-416A-B88D-4859885EDF2F}" name="Table3" displayName="Table3" ref="A1:G51" totalsRowShown="0">
  <autoFilter ref="A1:G51" xr:uid="{3C52CC01-60C7-4697-9FC5-B59FB3E01A97}"/>
  <tableColumns count="7">
    <tableColumn id="1" xr3:uid="{74C6DD94-9809-45C4-858F-F30DA28E4981}" name="PROJECT_ID"/>
    <tableColumn id="2" xr3:uid="{5B5A14A6-99CC-41A6-952B-96807C26ABA0}" name="PROJECT_NAME"/>
    <tableColumn id="3" xr3:uid="{5AC00668-D406-4225-BB5E-40C02A02AC1E}" name="BUDGET" dataDxfId="135" dataCellStyle="Comma"/>
    <tableColumn id="4" xr3:uid="{A3BF971F-554F-4A69-A9B3-21C213734760}" name="DEPARTMENTS">
      <calculatedColumnFormula>CHOOSE(RANDBETWEEN(1,6),
"Education",
"Health",
"Agriculture",
"Infrastructure",
"ICT",
"Energy")</calculatedColumnFormula>
    </tableColumn>
    <tableColumn id="5" xr3:uid="{8C4ED9F4-3947-4AC9-AA74-CBAA8E433FB2}" name="STATUS">
      <calculatedColumnFormula>CHOOSE(RANDBETWEEN(1,4),
"Completed",
"In Progress",
"Delayed",
"At Risk")</calculatedColumnFormula>
    </tableColumn>
    <tableColumn id="6" xr3:uid="{08E0F779-2A9B-4C59-94B2-56ED98B4661F}" name="BUDGET_CATEGORY">
      <calculatedColumnFormula>IF(C2&lt;10000000,"Low Budget",
IF(C2&lt;30000000,"Medium Budget","High Budget"))</calculatedColumnFormula>
    </tableColumn>
    <tableColumn id="7" xr3:uid="{85D99679-D333-4089-8125-B9E6DA49DD28}" name="PERFOMANCE_FLAG">
      <calculatedColumnFormula>IF(E2="Completed","Success",
IF(E2="In Progress","On Track",
IF(E2="Delayed","Risk","Critical")))</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7E6E9-A825-4C8D-B8FD-789377F033DE}">
  <dimension ref="A2:B10"/>
  <sheetViews>
    <sheetView workbookViewId="0">
      <selection activeCell="A3" sqref="A3"/>
    </sheetView>
  </sheetViews>
  <sheetFormatPr defaultRowHeight="14" x14ac:dyDescent="0.3"/>
  <cols>
    <col min="1" max="1" width="18.33203125" bestFit="1" customWidth="1"/>
    <col min="2" max="2" width="18.1640625" bestFit="1" customWidth="1"/>
  </cols>
  <sheetData>
    <row r="2" spans="1:2" ht="15.5" x14ac:dyDescent="0.35">
      <c r="A2" s="10" t="s">
        <v>16</v>
      </c>
    </row>
    <row r="3" spans="1:2" ht="15.5" x14ac:dyDescent="0.35">
      <c r="A3" s="9" t="s">
        <v>15</v>
      </c>
      <c r="B3" s="8" t="s">
        <v>14</v>
      </c>
    </row>
    <row r="4" spans="1:2" ht="15.5" x14ac:dyDescent="0.35">
      <c r="A4" s="7" t="s">
        <v>8</v>
      </c>
      <c r="B4" s="6">
        <v>341787084</v>
      </c>
    </row>
    <row r="5" spans="1:2" ht="15.5" x14ac:dyDescent="0.35">
      <c r="A5" s="7" t="s">
        <v>11</v>
      </c>
      <c r="B5" s="6">
        <v>318919319</v>
      </c>
    </row>
    <row r="6" spans="1:2" ht="15.5" x14ac:dyDescent="0.35">
      <c r="A6" s="7" t="s">
        <v>7</v>
      </c>
      <c r="B6" s="6">
        <v>268406336</v>
      </c>
    </row>
    <row r="7" spans="1:2" ht="15.5" x14ac:dyDescent="0.35">
      <c r="A7" s="7" t="s">
        <v>12</v>
      </c>
      <c r="B7" s="6">
        <v>231942936</v>
      </c>
    </row>
    <row r="8" spans="1:2" ht="15.5" x14ac:dyDescent="0.35">
      <c r="A8" s="7" t="s">
        <v>10</v>
      </c>
      <c r="B8" s="6">
        <v>190712615</v>
      </c>
    </row>
    <row r="9" spans="1:2" ht="15.5" x14ac:dyDescent="0.35">
      <c r="A9" s="7" t="s">
        <v>9</v>
      </c>
      <c r="B9" s="6">
        <v>72804672</v>
      </c>
    </row>
    <row r="10" spans="1:2" x14ac:dyDescent="0.3">
      <c r="A10" s="2" t="s">
        <v>13</v>
      </c>
      <c r="B10" s="5">
        <v>1424572962</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EF6EC-1F8B-4325-9BFA-8707358AEE5A}">
  <dimension ref="A3:F11"/>
  <sheetViews>
    <sheetView workbookViewId="0">
      <selection activeCell="A4" sqref="A4:F11"/>
    </sheetView>
  </sheetViews>
  <sheetFormatPr defaultRowHeight="14" x14ac:dyDescent="0.3"/>
  <cols>
    <col min="1" max="1" width="19.08203125" bestFit="1" customWidth="1"/>
    <col min="2" max="2" width="6.83203125" bestFit="1" customWidth="1"/>
    <col min="3" max="3" width="9.9140625" bestFit="1" customWidth="1"/>
    <col min="4" max="4" width="7.5" bestFit="1" customWidth="1"/>
    <col min="5" max="5" width="10.5" bestFit="1" customWidth="1"/>
    <col min="6" max="6" width="10.83203125" bestFit="1" customWidth="1"/>
  </cols>
  <sheetData>
    <row r="3" spans="1:6" x14ac:dyDescent="0.3">
      <c r="A3" s="1" t="s">
        <v>21</v>
      </c>
      <c r="B3" s="1" t="s">
        <v>24</v>
      </c>
    </row>
    <row r="4" spans="1:6" x14ac:dyDescent="0.3">
      <c r="A4" s="1" t="s">
        <v>25</v>
      </c>
      <c r="B4" t="s">
        <v>17</v>
      </c>
      <c r="C4" t="s">
        <v>20</v>
      </c>
      <c r="D4" t="s">
        <v>18</v>
      </c>
      <c r="E4" t="s">
        <v>19</v>
      </c>
      <c r="F4" t="s">
        <v>13</v>
      </c>
    </row>
    <row r="5" spans="1:6" x14ac:dyDescent="0.3">
      <c r="A5" s="2" t="s">
        <v>7</v>
      </c>
      <c r="B5" s="3">
        <v>83</v>
      </c>
      <c r="C5" s="3"/>
      <c r="D5" s="3">
        <v>60</v>
      </c>
      <c r="E5" s="3">
        <v>17</v>
      </c>
      <c r="F5" s="3">
        <v>160</v>
      </c>
    </row>
    <row r="6" spans="1:6" x14ac:dyDescent="0.3">
      <c r="A6" s="2" t="s">
        <v>8</v>
      </c>
      <c r="B6" s="3">
        <v>121</v>
      </c>
      <c r="C6" s="3">
        <v>109</v>
      </c>
      <c r="D6" s="3">
        <v>17</v>
      </c>
      <c r="E6" s="3">
        <v>52</v>
      </c>
      <c r="F6" s="3">
        <v>299</v>
      </c>
    </row>
    <row r="7" spans="1:6" x14ac:dyDescent="0.3">
      <c r="A7" s="2" t="s">
        <v>9</v>
      </c>
      <c r="B7" s="3"/>
      <c r="C7" s="3"/>
      <c r="D7" s="3">
        <v>65</v>
      </c>
      <c r="E7" s="3">
        <v>54</v>
      </c>
      <c r="F7" s="3">
        <v>119</v>
      </c>
    </row>
    <row r="8" spans="1:6" x14ac:dyDescent="0.3">
      <c r="A8" s="2" t="s">
        <v>10</v>
      </c>
      <c r="B8" s="3">
        <v>16</v>
      </c>
      <c r="C8" s="3">
        <v>121</v>
      </c>
      <c r="D8" s="3">
        <v>8</v>
      </c>
      <c r="E8" s="3">
        <v>54</v>
      </c>
      <c r="F8" s="3">
        <v>199</v>
      </c>
    </row>
    <row r="9" spans="1:6" x14ac:dyDescent="0.3">
      <c r="A9" s="2" t="s">
        <v>11</v>
      </c>
      <c r="B9" s="3">
        <v>27</v>
      </c>
      <c r="C9" s="3">
        <v>90</v>
      </c>
      <c r="D9" s="3">
        <v>106</v>
      </c>
      <c r="E9" s="3">
        <v>26</v>
      </c>
      <c r="F9" s="3">
        <v>249</v>
      </c>
    </row>
    <row r="10" spans="1:6" x14ac:dyDescent="0.3">
      <c r="A10" s="2" t="s">
        <v>12</v>
      </c>
      <c r="B10" s="3">
        <v>25</v>
      </c>
      <c r="C10" s="3">
        <v>132</v>
      </c>
      <c r="D10" s="3">
        <v>51</v>
      </c>
      <c r="E10" s="3">
        <v>41</v>
      </c>
      <c r="F10" s="3">
        <v>249</v>
      </c>
    </row>
    <row r="11" spans="1:6" x14ac:dyDescent="0.3">
      <c r="A11" s="2" t="s">
        <v>13</v>
      </c>
      <c r="B11" s="3">
        <v>272</v>
      </c>
      <c r="C11" s="3">
        <v>452</v>
      </c>
      <c r="D11" s="3">
        <v>307</v>
      </c>
      <c r="E11" s="3">
        <v>244</v>
      </c>
      <c r="F11" s="3">
        <v>1275</v>
      </c>
    </row>
  </sheetData>
  <conditionalFormatting pivot="1" sqref="B5:E10">
    <cfRule type="colorScale" priority="4">
      <colorScale>
        <cfvo type="min"/>
        <cfvo type="percentile" val="50"/>
        <cfvo type="max"/>
        <color rgb="FFF8696B"/>
        <color rgb="FFFFEB84"/>
        <color rgb="FF63BE7B"/>
      </colorScale>
    </cfRule>
  </conditionalFormatting>
  <conditionalFormatting pivot="1" sqref="B5:E10">
    <cfRule type="colorScale" priority="3">
      <colorScale>
        <cfvo type="min"/>
        <cfvo type="percentile" val="50"/>
        <cfvo type="max"/>
        <color theme="9"/>
        <color rgb="FFFFEB84"/>
        <color rgb="FFFF0000"/>
      </colorScale>
    </cfRule>
  </conditionalFormatting>
  <conditionalFormatting pivot="1" sqref="B5:E10">
    <cfRule type="colorScale" priority="2">
      <colorScale>
        <cfvo type="min"/>
        <cfvo type="percentile" val="50"/>
        <cfvo type="max"/>
        <color rgb="FFF8696B"/>
        <color theme="7"/>
        <color rgb="FF63BE7B"/>
      </colorScale>
    </cfRule>
  </conditionalFormatting>
  <conditionalFormatting pivot="1" sqref="B5:E10">
    <cfRule type="colorScale" priority="1">
      <colorScale>
        <cfvo type="min"/>
        <cfvo type="percentile" val="50"/>
        <cfvo type="max"/>
        <color rgb="FFC00000"/>
        <color rgb="FFFFFF00"/>
        <color theme="9" tint="-0.499984740745262"/>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320A0-ACFA-4F97-9E98-0CC2840B7F30}">
  <dimension ref="A3:D10"/>
  <sheetViews>
    <sheetView workbookViewId="0">
      <selection activeCell="N24" sqref="N24"/>
    </sheetView>
  </sheetViews>
  <sheetFormatPr defaultRowHeight="14" x14ac:dyDescent="0.3"/>
  <cols>
    <col min="1" max="1" width="17.08203125" bestFit="1" customWidth="1"/>
    <col min="2" max="2" width="15.33203125" bestFit="1" customWidth="1"/>
    <col min="3" max="3" width="20.33203125" bestFit="1" customWidth="1"/>
    <col min="4" max="4" width="28.9140625" bestFit="1" customWidth="1"/>
  </cols>
  <sheetData>
    <row r="3" spans="1:4" x14ac:dyDescent="0.3">
      <c r="A3" s="1" t="s">
        <v>15</v>
      </c>
      <c r="B3" t="s">
        <v>14</v>
      </c>
      <c r="C3" t="s">
        <v>22</v>
      </c>
      <c r="D3" t="s">
        <v>23</v>
      </c>
    </row>
    <row r="4" spans="1:4" ht="15.5" x14ac:dyDescent="0.35">
      <c r="A4" s="7" t="s">
        <v>8</v>
      </c>
      <c r="B4" s="6">
        <v>341787084</v>
      </c>
      <c r="C4" s="12">
        <v>299</v>
      </c>
      <c r="D4" s="6">
        <v>1143100.6153846155</v>
      </c>
    </row>
    <row r="5" spans="1:4" ht="15.5" x14ac:dyDescent="0.35">
      <c r="A5" s="7" t="s">
        <v>11</v>
      </c>
      <c r="B5" s="6">
        <v>318919319</v>
      </c>
      <c r="C5" s="12">
        <v>249</v>
      </c>
      <c r="D5" s="6">
        <v>1280800.4779116465</v>
      </c>
    </row>
    <row r="6" spans="1:4" ht="15.5" x14ac:dyDescent="0.35">
      <c r="A6" s="7" t="s">
        <v>7</v>
      </c>
      <c r="B6" s="6">
        <v>268406336</v>
      </c>
      <c r="C6" s="12">
        <v>160</v>
      </c>
      <c r="D6" s="6">
        <v>1677539.6</v>
      </c>
    </row>
    <row r="7" spans="1:4" ht="15.5" x14ac:dyDescent="0.35">
      <c r="A7" s="7" t="s">
        <v>12</v>
      </c>
      <c r="B7" s="6">
        <v>231942936</v>
      </c>
      <c r="C7" s="12">
        <v>249</v>
      </c>
      <c r="D7" s="6">
        <v>931497.73493975902</v>
      </c>
    </row>
    <row r="8" spans="1:4" ht="15.5" x14ac:dyDescent="0.35">
      <c r="A8" s="7" t="s">
        <v>10</v>
      </c>
      <c r="B8" s="6">
        <v>190712615</v>
      </c>
      <c r="C8" s="12">
        <v>199</v>
      </c>
      <c r="D8" s="6">
        <v>958354.84924623114</v>
      </c>
    </row>
    <row r="9" spans="1:4" ht="15.5" x14ac:dyDescent="0.35">
      <c r="A9" s="7" t="s">
        <v>9</v>
      </c>
      <c r="B9" s="6">
        <v>72804672</v>
      </c>
      <c r="C9" s="12">
        <v>119</v>
      </c>
      <c r="D9" s="6">
        <v>611803.96638655465</v>
      </c>
    </row>
    <row r="10" spans="1:4" ht="15.5" x14ac:dyDescent="0.35">
      <c r="A10" s="7" t="s">
        <v>13</v>
      </c>
      <c r="B10" s="6">
        <v>1424572962</v>
      </c>
      <c r="C10" s="12">
        <v>1275</v>
      </c>
      <c r="D10" s="6">
        <v>1117312.1270588236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CBF37-6E9D-4D42-B22E-2530B588878A}">
  <dimension ref="A1:O56"/>
  <sheetViews>
    <sheetView tabSelected="1" zoomScale="38" zoomScaleNormal="38" workbookViewId="0">
      <selection sqref="A1:XFD1048576"/>
    </sheetView>
  </sheetViews>
  <sheetFormatPr defaultRowHeight="14" x14ac:dyDescent="0.3"/>
  <cols>
    <col min="1" max="1" width="34.4140625" customWidth="1"/>
    <col min="2" max="2" width="15.6640625" customWidth="1"/>
    <col min="3" max="3" width="31" customWidth="1"/>
    <col min="4" max="4" width="12.1640625" customWidth="1"/>
    <col min="5" max="5" width="37.1640625" customWidth="1"/>
    <col min="6" max="6" width="10.25" customWidth="1"/>
    <col min="7" max="7" width="33.6640625" customWidth="1"/>
    <col min="8" max="8" width="10.6640625" customWidth="1"/>
    <col min="9" max="9" width="7.83203125" customWidth="1"/>
    <col min="11" max="11" width="29.1640625" customWidth="1"/>
    <col min="12" max="12" width="18.75" customWidth="1"/>
    <col min="13" max="13" width="20.25" customWidth="1"/>
    <col min="14" max="14" width="28.75" customWidth="1"/>
  </cols>
  <sheetData>
    <row r="1" spans="1:15" ht="32.5" x14ac:dyDescent="0.65">
      <c r="A1" s="20" t="s">
        <v>26</v>
      </c>
      <c r="B1" s="18"/>
      <c r="C1" s="18"/>
      <c r="D1" s="18"/>
      <c r="E1" s="18"/>
      <c r="F1" s="18"/>
      <c r="G1" s="18"/>
      <c r="H1" s="19"/>
      <c r="I1" s="19"/>
      <c r="J1" s="19"/>
      <c r="K1" s="19"/>
      <c r="L1" s="19"/>
    </row>
    <row r="3" spans="1:15" ht="23" x14ac:dyDescent="0.5">
      <c r="B3" s="15"/>
      <c r="D3" s="15"/>
      <c r="F3" s="15"/>
      <c r="H3" s="15"/>
      <c r="J3" s="4"/>
      <c r="K3" s="4"/>
      <c r="M3" s="4"/>
      <c r="N3" s="4"/>
      <c r="O3" s="4"/>
    </row>
    <row r="4" spans="1:15" ht="23" x14ac:dyDescent="0.5">
      <c r="D4" s="15"/>
      <c r="F4" s="15"/>
      <c r="H4" s="15"/>
      <c r="J4" s="2"/>
      <c r="K4" s="21" t="s">
        <v>27</v>
      </c>
      <c r="L4" s="3"/>
      <c r="M4" s="3"/>
      <c r="N4" s="3"/>
      <c r="O4" s="3"/>
    </row>
    <row r="5" spans="1:15" ht="23" x14ac:dyDescent="0.5">
      <c r="A5" s="15"/>
      <c r="J5" s="2"/>
      <c r="K5" s="3"/>
      <c r="L5" s="3"/>
      <c r="M5" s="3"/>
      <c r="N5" s="3"/>
      <c r="O5" s="3"/>
    </row>
    <row r="6" spans="1:15" ht="23" x14ac:dyDescent="0.5">
      <c r="A6" s="15"/>
      <c r="J6" s="2"/>
      <c r="K6" s="3"/>
      <c r="L6" s="3"/>
      <c r="M6" s="3"/>
      <c r="N6" s="3"/>
      <c r="O6" s="3"/>
    </row>
    <row r="7" spans="1:15" ht="23" x14ac:dyDescent="0.5">
      <c r="A7" s="15"/>
      <c r="J7" s="2"/>
      <c r="K7" s="3"/>
      <c r="L7" s="3"/>
      <c r="M7" s="3"/>
      <c r="N7" s="3"/>
      <c r="O7" s="3"/>
    </row>
    <row r="8" spans="1:15" x14ac:dyDescent="0.3">
      <c r="J8" s="2"/>
      <c r="K8" s="3"/>
      <c r="L8" s="3"/>
      <c r="M8" s="3"/>
      <c r="N8" s="3"/>
      <c r="O8" s="3"/>
    </row>
    <row r="9" spans="1:15" x14ac:dyDescent="0.3">
      <c r="J9" s="2"/>
      <c r="K9" s="3"/>
      <c r="L9" s="3"/>
      <c r="M9" s="3"/>
      <c r="N9" s="3"/>
      <c r="O9" s="3"/>
    </row>
    <row r="10" spans="1:15" x14ac:dyDescent="0.3">
      <c r="J10" s="13"/>
      <c r="K10" s="14"/>
      <c r="L10" s="14"/>
      <c r="M10" s="14"/>
      <c r="N10" s="14"/>
      <c r="O10" s="14"/>
    </row>
    <row r="47" spans="1:5" ht="25" x14ac:dyDescent="0.5">
      <c r="A47" s="17"/>
    </row>
    <row r="48" spans="1:5" ht="20" x14ac:dyDescent="0.4">
      <c r="A48" s="16"/>
      <c r="B48" s="16"/>
      <c r="C48" s="16"/>
      <c r="D48" s="16"/>
      <c r="E48" s="16"/>
    </row>
    <row r="49" spans="1:5" ht="20" x14ac:dyDescent="0.4">
      <c r="A49" s="16"/>
      <c r="B49" s="16"/>
      <c r="C49" s="16"/>
      <c r="D49" s="16"/>
      <c r="E49" s="16"/>
    </row>
    <row r="50" spans="1:5" ht="20" x14ac:dyDescent="0.4">
      <c r="A50" s="16"/>
      <c r="B50" s="16"/>
      <c r="C50" s="16"/>
      <c r="D50" s="16"/>
      <c r="E50" s="16"/>
    </row>
    <row r="51" spans="1:5" ht="20" x14ac:dyDescent="0.4">
      <c r="A51" s="16"/>
      <c r="B51" s="16"/>
      <c r="C51" s="16"/>
      <c r="D51" s="16"/>
      <c r="E51" s="16"/>
    </row>
    <row r="52" spans="1:5" ht="20" x14ac:dyDescent="0.4">
      <c r="A52" s="16"/>
      <c r="B52" s="16"/>
      <c r="C52" s="16"/>
      <c r="D52" s="16"/>
      <c r="E52" s="16"/>
    </row>
    <row r="54" spans="1:5" ht="25" x14ac:dyDescent="0.5">
      <c r="A54" s="17"/>
    </row>
    <row r="55" spans="1:5" ht="20" x14ac:dyDescent="0.4">
      <c r="A55" s="16"/>
    </row>
    <row r="56" spans="1:5" ht="20" x14ac:dyDescent="0.4">
      <c r="A56" s="16"/>
    </row>
  </sheetData>
  <conditionalFormatting sqref="K4:N9">
    <cfRule type="colorScale" priority="4">
      <colorScale>
        <cfvo type="min"/>
        <cfvo type="percentile" val="50"/>
        <cfvo type="max"/>
        <color rgb="FFF8696B"/>
        <color rgb="FFFFEB84"/>
        <color rgb="FF63BE7B"/>
      </colorScale>
    </cfRule>
  </conditionalFormatting>
  <conditionalFormatting sqref="K4:N9">
    <cfRule type="colorScale" priority="3">
      <colorScale>
        <cfvo type="min"/>
        <cfvo type="percentile" val="50"/>
        <cfvo type="max"/>
        <color theme="9"/>
        <color rgb="FFFFEB84"/>
        <color rgb="FFFF0000"/>
      </colorScale>
    </cfRule>
  </conditionalFormatting>
  <conditionalFormatting sqref="K4:N9">
    <cfRule type="colorScale" priority="2">
      <colorScale>
        <cfvo type="min"/>
        <cfvo type="percentile" val="50"/>
        <cfvo type="max"/>
        <color rgb="FFF8696B"/>
        <color theme="7"/>
        <color rgb="FF63BE7B"/>
      </colorScale>
    </cfRule>
  </conditionalFormatting>
  <conditionalFormatting sqref="K4:N9">
    <cfRule type="colorScale" priority="1">
      <colorScale>
        <cfvo type="min"/>
        <cfvo type="percentile" val="50"/>
        <cfvo type="max"/>
        <color rgb="FFC00000"/>
        <color rgb="FFFFFF00"/>
        <color theme="9" tint="-0.499984740745262"/>
      </colorScale>
    </cfRule>
  </conditionalFormatting>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showOutlineSymbols="0" showWhiteSpace="0" zoomScale="44" zoomScaleNormal="44" workbookViewId="0">
      <selection activeCell="E27" sqref="E27"/>
    </sheetView>
  </sheetViews>
  <sheetFormatPr defaultRowHeight="14" x14ac:dyDescent="0.3"/>
  <cols>
    <col min="1" max="1" width="16.5" customWidth="1"/>
    <col min="2" max="2" width="93.25" bestFit="1" customWidth="1"/>
    <col min="3" max="3" width="16.33203125" bestFit="1" customWidth="1"/>
    <col min="4" max="4" width="27.25" bestFit="1" customWidth="1"/>
    <col min="5" max="5" width="19.83203125" customWidth="1"/>
    <col min="6" max="6" width="25.4140625" customWidth="1"/>
    <col min="7" max="7" width="25.1640625" customWidth="1"/>
  </cols>
  <sheetData>
    <row r="1" spans="1:7" x14ac:dyDescent="0.3">
      <c r="A1" t="s">
        <v>0</v>
      </c>
      <c r="B1" t="s">
        <v>1</v>
      </c>
      <c r="C1" t="s">
        <v>2</v>
      </c>
      <c r="D1" t="s">
        <v>15</v>
      </c>
      <c r="E1" t="s">
        <v>4</v>
      </c>
      <c r="F1" t="s">
        <v>5</v>
      </c>
      <c r="G1" t="s">
        <v>6</v>
      </c>
    </row>
    <row r="2" spans="1:7" x14ac:dyDescent="0.3">
      <c r="A2">
        <v>1</v>
      </c>
      <c r="B2" t="s">
        <v>3</v>
      </c>
      <c r="C2" s="11">
        <v>17178833</v>
      </c>
      <c r="D2" t="str">
        <f ca="1">CHOOSE(RANDBETWEEN(1,6),
"Education",
"Health",
"Agriculture",
"Infrastructure",
"ICT",
"Energy")</f>
        <v>ICT</v>
      </c>
      <c r="E2" t="str">
        <f ca="1">CHOOSE(RANDBETWEEN(1,4),
"Completed",
"In Progress",
"Delayed",
"At Risk")</f>
        <v>Completed</v>
      </c>
      <c r="F2" t="str">
        <f>IF(C2&lt;10000000,"Low Budget",
IF(C2&lt;30000000,"Medium Budget","High Budget"))</f>
        <v>Medium Budget</v>
      </c>
      <c r="G2" t="str">
        <f ca="1">IF(E2="Completed","Success",
IF(E2="In Progress","On Track",
IF(E2="Delayed","Risk","Critical")))</f>
        <v>Success</v>
      </c>
    </row>
    <row r="3" spans="1:7" x14ac:dyDescent="0.3">
      <c r="A3">
        <v>2</v>
      </c>
      <c r="B3" t="s">
        <v>3</v>
      </c>
      <c r="C3" s="11">
        <v>5889621</v>
      </c>
      <c r="D3" t="str">
        <f t="shared" ref="D3:D51" ca="1" si="0">CHOOSE(RANDBETWEEN(1,6),
"Education",
"Health",
"Agriculture",
"Infrastructure",
"ICT",
"Energy")</f>
        <v>Health</v>
      </c>
      <c r="E3" t="str">
        <f t="shared" ref="E3:E51" ca="1" si="1">CHOOSE(RANDBETWEEN(1,4),
"Completed",
"In Progress",
"Delayed",
"At Risk")</f>
        <v>Delayed</v>
      </c>
      <c r="F3" t="str">
        <f t="shared" ref="F3:F51" si="2">IF(C3&lt;10000000,"Low Budget",
IF(C3&lt;30000000,"Medium Budget","High Budget"))</f>
        <v>Low Budget</v>
      </c>
      <c r="G3" t="str">
        <f t="shared" ref="G3:G51" ca="1" si="3">IF(E3="Completed","Success",
IF(E3="In Progress","On Track",
IF(E3="Delayed","Risk","Critical")))</f>
        <v>Risk</v>
      </c>
    </row>
    <row r="4" spans="1:7" x14ac:dyDescent="0.3">
      <c r="A4">
        <v>3</v>
      </c>
      <c r="B4" t="s">
        <v>3</v>
      </c>
      <c r="C4" s="11">
        <v>6304150</v>
      </c>
      <c r="D4" t="str">
        <f t="shared" ca="1" si="0"/>
        <v>Infrastructure</v>
      </c>
      <c r="E4" t="str">
        <f t="shared" ca="1" si="1"/>
        <v>At Risk</v>
      </c>
      <c r="F4" t="str">
        <f t="shared" si="2"/>
        <v>Low Budget</v>
      </c>
      <c r="G4" t="str">
        <f t="shared" ca="1" si="3"/>
        <v>Critical</v>
      </c>
    </row>
    <row r="5" spans="1:7" x14ac:dyDescent="0.3">
      <c r="A5">
        <v>4</v>
      </c>
      <c r="B5" t="s">
        <v>3</v>
      </c>
      <c r="C5" s="11">
        <v>17788390</v>
      </c>
      <c r="D5" t="str">
        <f t="shared" ca="1" si="0"/>
        <v>ICT</v>
      </c>
      <c r="E5" t="str">
        <f t="shared" ca="1" si="1"/>
        <v>At Risk</v>
      </c>
      <c r="F5" t="str">
        <f t="shared" si="2"/>
        <v>Medium Budget</v>
      </c>
      <c r="G5" t="str">
        <f t="shared" ca="1" si="3"/>
        <v>Critical</v>
      </c>
    </row>
    <row r="6" spans="1:7" x14ac:dyDescent="0.3">
      <c r="A6">
        <v>5</v>
      </c>
      <c r="B6" t="s">
        <v>3</v>
      </c>
      <c r="C6" s="11">
        <v>14274365</v>
      </c>
      <c r="D6" t="str">
        <f t="shared" ca="1" si="0"/>
        <v>Education</v>
      </c>
      <c r="E6" t="str">
        <f t="shared" ca="1" si="1"/>
        <v>Completed</v>
      </c>
      <c r="F6" t="str">
        <f t="shared" si="2"/>
        <v>Medium Budget</v>
      </c>
      <c r="G6" t="str">
        <f t="shared" ca="1" si="3"/>
        <v>Success</v>
      </c>
    </row>
    <row r="7" spans="1:7" x14ac:dyDescent="0.3">
      <c r="A7">
        <v>6</v>
      </c>
      <c r="B7" t="s">
        <v>3</v>
      </c>
      <c r="C7" s="11">
        <v>46051067</v>
      </c>
      <c r="D7" t="str">
        <f t="shared" ca="1" si="0"/>
        <v>Energy</v>
      </c>
      <c r="E7" t="str">
        <f t="shared" ca="1" si="1"/>
        <v>At Risk</v>
      </c>
      <c r="F7" t="str">
        <f t="shared" si="2"/>
        <v>High Budget</v>
      </c>
      <c r="G7" t="str">
        <f t="shared" ca="1" si="3"/>
        <v>Critical</v>
      </c>
    </row>
    <row r="8" spans="1:7" x14ac:dyDescent="0.3">
      <c r="A8">
        <v>7</v>
      </c>
      <c r="B8" t="s">
        <v>3</v>
      </c>
      <c r="C8" s="11">
        <v>48583841</v>
      </c>
      <c r="D8" t="str">
        <f t="shared" ca="1" si="0"/>
        <v>Energy</v>
      </c>
      <c r="E8" t="str">
        <f t="shared" ca="1" si="1"/>
        <v>Delayed</v>
      </c>
      <c r="F8" t="str">
        <f t="shared" si="2"/>
        <v>High Budget</v>
      </c>
      <c r="G8" t="str">
        <f t="shared" ca="1" si="3"/>
        <v>Risk</v>
      </c>
    </row>
    <row r="9" spans="1:7" x14ac:dyDescent="0.3">
      <c r="A9">
        <v>8</v>
      </c>
      <c r="B9" t="s">
        <v>3</v>
      </c>
      <c r="C9" s="11">
        <v>13525536</v>
      </c>
      <c r="D9" t="str">
        <f t="shared" ca="1" si="0"/>
        <v>Energy</v>
      </c>
      <c r="E9" t="str">
        <f t="shared" ca="1" si="1"/>
        <v>At Risk</v>
      </c>
      <c r="F9" t="str">
        <f t="shared" si="2"/>
        <v>Medium Budget</v>
      </c>
      <c r="G9" t="str">
        <f t="shared" ca="1" si="3"/>
        <v>Critical</v>
      </c>
    </row>
    <row r="10" spans="1:7" x14ac:dyDescent="0.3">
      <c r="A10">
        <v>9</v>
      </c>
      <c r="B10" t="s">
        <v>3</v>
      </c>
      <c r="C10" s="11">
        <v>17192858</v>
      </c>
      <c r="D10" t="str">
        <f t="shared" ca="1" si="0"/>
        <v>Infrastructure</v>
      </c>
      <c r="E10" t="str">
        <f t="shared" ca="1" si="1"/>
        <v>At Risk</v>
      </c>
      <c r="F10" t="str">
        <f t="shared" si="2"/>
        <v>Medium Budget</v>
      </c>
      <c r="G10" t="str">
        <f t="shared" ca="1" si="3"/>
        <v>Critical</v>
      </c>
    </row>
    <row r="11" spans="1:7" x14ac:dyDescent="0.3">
      <c r="A11">
        <v>10</v>
      </c>
      <c r="B11" t="s">
        <v>3</v>
      </c>
      <c r="C11" s="11">
        <v>16147546</v>
      </c>
      <c r="D11" t="str">
        <f t="shared" ca="1" si="0"/>
        <v>Agriculture</v>
      </c>
      <c r="E11" t="str">
        <f t="shared" ca="1" si="1"/>
        <v>At Risk</v>
      </c>
      <c r="F11" t="str">
        <f t="shared" si="2"/>
        <v>Medium Budget</v>
      </c>
      <c r="G11" t="str">
        <f t="shared" ca="1" si="3"/>
        <v>Critical</v>
      </c>
    </row>
    <row r="12" spans="1:7" x14ac:dyDescent="0.3">
      <c r="A12">
        <v>11</v>
      </c>
      <c r="B12" t="s">
        <v>3</v>
      </c>
      <c r="C12" s="11">
        <v>46247298</v>
      </c>
      <c r="D12" t="str">
        <f t="shared" ca="1" si="0"/>
        <v>Energy</v>
      </c>
      <c r="E12" t="str">
        <f t="shared" ca="1" si="1"/>
        <v>In Progress</v>
      </c>
      <c r="F12" t="str">
        <f t="shared" si="2"/>
        <v>High Budget</v>
      </c>
      <c r="G12" t="str">
        <f t="shared" ca="1" si="3"/>
        <v>On Track</v>
      </c>
    </row>
    <row r="13" spans="1:7" x14ac:dyDescent="0.3">
      <c r="A13">
        <v>12</v>
      </c>
      <c r="B13" t="s">
        <v>3</v>
      </c>
      <c r="C13" s="11">
        <v>33701885</v>
      </c>
      <c r="D13" t="str">
        <f t="shared" ca="1" si="0"/>
        <v>Agriculture</v>
      </c>
      <c r="E13" t="str">
        <f t="shared" ca="1" si="1"/>
        <v>In Progress</v>
      </c>
      <c r="F13" t="str">
        <f t="shared" si="2"/>
        <v>High Budget</v>
      </c>
      <c r="G13" t="str">
        <f t="shared" ca="1" si="3"/>
        <v>On Track</v>
      </c>
    </row>
    <row r="14" spans="1:7" x14ac:dyDescent="0.3">
      <c r="A14">
        <v>13</v>
      </c>
      <c r="B14" t="s">
        <v>3</v>
      </c>
      <c r="C14" s="11">
        <v>45790775</v>
      </c>
      <c r="D14" t="str">
        <f t="shared" ca="1" si="0"/>
        <v>ICT</v>
      </c>
      <c r="E14" t="str">
        <f t="shared" ca="1" si="1"/>
        <v>At Risk</v>
      </c>
      <c r="F14" t="str">
        <f t="shared" si="2"/>
        <v>High Budget</v>
      </c>
      <c r="G14" t="str">
        <f t="shared" ca="1" si="3"/>
        <v>Critical</v>
      </c>
    </row>
    <row r="15" spans="1:7" x14ac:dyDescent="0.3">
      <c r="A15">
        <v>14</v>
      </c>
      <c r="B15" t="s">
        <v>3</v>
      </c>
      <c r="C15" s="11">
        <v>45825104</v>
      </c>
      <c r="D15" t="str">
        <f t="shared" ca="1" si="0"/>
        <v>Energy</v>
      </c>
      <c r="E15" t="str">
        <f t="shared" ca="1" si="1"/>
        <v>Completed</v>
      </c>
      <c r="F15" t="str">
        <f t="shared" si="2"/>
        <v>High Budget</v>
      </c>
      <c r="G15" t="str">
        <f t="shared" ca="1" si="3"/>
        <v>Success</v>
      </c>
    </row>
    <row r="16" spans="1:7" x14ac:dyDescent="0.3">
      <c r="A16">
        <v>15</v>
      </c>
      <c r="B16" t="s">
        <v>3</v>
      </c>
      <c r="C16" s="11">
        <v>40076754</v>
      </c>
      <c r="D16" t="str">
        <f t="shared" ca="1" si="0"/>
        <v>Agriculture</v>
      </c>
      <c r="E16" t="str">
        <f t="shared" ca="1" si="1"/>
        <v>At Risk</v>
      </c>
      <c r="F16" t="str">
        <f t="shared" si="2"/>
        <v>High Budget</v>
      </c>
      <c r="G16" t="str">
        <f t="shared" ca="1" si="3"/>
        <v>Critical</v>
      </c>
    </row>
    <row r="17" spans="1:7" x14ac:dyDescent="0.3">
      <c r="A17">
        <v>16</v>
      </c>
      <c r="B17" t="s">
        <v>3</v>
      </c>
      <c r="C17" s="11">
        <v>31138581</v>
      </c>
      <c r="D17" t="str">
        <f t="shared" ca="1" si="0"/>
        <v>Infrastructure</v>
      </c>
      <c r="E17" t="str">
        <f t="shared" ca="1" si="1"/>
        <v>Completed</v>
      </c>
      <c r="F17" t="str">
        <f t="shared" si="2"/>
        <v>High Budget</v>
      </c>
      <c r="G17" t="str">
        <f t="shared" ca="1" si="3"/>
        <v>Success</v>
      </c>
    </row>
    <row r="18" spans="1:7" x14ac:dyDescent="0.3">
      <c r="A18">
        <v>17</v>
      </c>
      <c r="B18" t="s">
        <v>3</v>
      </c>
      <c r="C18" s="11">
        <v>7867858</v>
      </c>
      <c r="D18" t="str">
        <f t="shared" ca="1" si="0"/>
        <v>Agriculture</v>
      </c>
      <c r="E18" t="str">
        <f t="shared" ca="1" si="1"/>
        <v>At Risk</v>
      </c>
      <c r="F18" t="str">
        <f t="shared" si="2"/>
        <v>Low Budget</v>
      </c>
      <c r="G18" t="str">
        <f t="shared" ca="1" si="3"/>
        <v>Critical</v>
      </c>
    </row>
    <row r="19" spans="1:7" x14ac:dyDescent="0.3">
      <c r="A19">
        <v>18</v>
      </c>
      <c r="B19" t="s">
        <v>3</v>
      </c>
      <c r="C19" s="11">
        <v>3507651</v>
      </c>
      <c r="D19" t="str">
        <f t="shared" ca="1" si="0"/>
        <v>Education</v>
      </c>
      <c r="E19" t="str">
        <f t="shared" ca="1" si="1"/>
        <v>At Risk</v>
      </c>
      <c r="F19" t="str">
        <f t="shared" si="2"/>
        <v>Low Budget</v>
      </c>
      <c r="G19" t="str">
        <f t="shared" ca="1" si="3"/>
        <v>Critical</v>
      </c>
    </row>
    <row r="20" spans="1:7" x14ac:dyDescent="0.3">
      <c r="A20">
        <v>19</v>
      </c>
      <c r="B20" t="s">
        <v>3</v>
      </c>
      <c r="C20" s="11">
        <v>47519560</v>
      </c>
      <c r="D20" t="str">
        <f t="shared" ca="1" si="0"/>
        <v>ICT</v>
      </c>
      <c r="E20" t="str">
        <f t="shared" ca="1" si="1"/>
        <v>In Progress</v>
      </c>
      <c r="F20" t="str">
        <f t="shared" si="2"/>
        <v>High Budget</v>
      </c>
      <c r="G20" t="str">
        <f t="shared" ca="1" si="3"/>
        <v>On Track</v>
      </c>
    </row>
    <row r="21" spans="1:7" x14ac:dyDescent="0.3">
      <c r="A21">
        <v>20</v>
      </c>
      <c r="B21" t="s">
        <v>3</v>
      </c>
      <c r="C21" s="11">
        <v>48589498</v>
      </c>
      <c r="D21" t="str">
        <f t="shared" ca="1" si="0"/>
        <v>Energy</v>
      </c>
      <c r="E21" t="str">
        <f t="shared" ca="1" si="1"/>
        <v>Delayed</v>
      </c>
      <c r="F21" t="str">
        <f t="shared" si="2"/>
        <v>High Budget</v>
      </c>
      <c r="G21" t="str">
        <f t="shared" ca="1" si="3"/>
        <v>Risk</v>
      </c>
    </row>
    <row r="22" spans="1:7" x14ac:dyDescent="0.3">
      <c r="A22">
        <v>21</v>
      </c>
      <c r="B22" t="s">
        <v>3</v>
      </c>
      <c r="C22" s="11">
        <v>39903647</v>
      </c>
      <c r="D22" t="str">
        <f t="shared" ca="1" si="0"/>
        <v>ICT</v>
      </c>
      <c r="E22" t="str">
        <f t="shared" ca="1" si="1"/>
        <v>At Risk</v>
      </c>
      <c r="F22" t="str">
        <f t="shared" si="2"/>
        <v>High Budget</v>
      </c>
      <c r="G22" t="str">
        <f t="shared" ca="1" si="3"/>
        <v>Critical</v>
      </c>
    </row>
    <row r="23" spans="1:7" x14ac:dyDescent="0.3">
      <c r="A23">
        <v>22</v>
      </c>
      <c r="B23" t="s">
        <v>3</v>
      </c>
      <c r="C23" s="11">
        <v>33925855</v>
      </c>
      <c r="D23" t="str">
        <f t="shared" ca="1" si="0"/>
        <v>Energy</v>
      </c>
      <c r="E23" t="str">
        <f t="shared" ca="1" si="1"/>
        <v>Completed</v>
      </c>
      <c r="F23" t="str">
        <f t="shared" si="2"/>
        <v>High Budget</v>
      </c>
      <c r="G23" t="str">
        <f t="shared" ca="1" si="3"/>
        <v>Success</v>
      </c>
    </row>
    <row r="24" spans="1:7" x14ac:dyDescent="0.3">
      <c r="A24">
        <v>23</v>
      </c>
      <c r="B24" t="s">
        <v>3</v>
      </c>
      <c r="C24" s="11">
        <v>47800471</v>
      </c>
      <c r="D24" t="str">
        <f t="shared" ca="1" si="0"/>
        <v>Infrastructure</v>
      </c>
      <c r="E24" t="str">
        <f t="shared" ca="1" si="1"/>
        <v>In Progress</v>
      </c>
      <c r="F24" t="str">
        <f t="shared" si="2"/>
        <v>High Budget</v>
      </c>
      <c r="G24" t="str">
        <f t="shared" ca="1" si="3"/>
        <v>On Track</v>
      </c>
    </row>
    <row r="25" spans="1:7" x14ac:dyDescent="0.3">
      <c r="A25">
        <v>24</v>
      </c>
      <c r="B25" t="s">
        <v>3</v>
      </c>
      <c r="C25" s="11">
        <v>45866422</v>
      </c>
      <c r="D25" t="str">
        <f t="shared" ca="1" si="0"/>
        <v>Infrastructure</v>
      </c>
      <c r="E25" t="str">
        <f t="shared" ca="1" si="1"/>
        <v>Delayed</v>
      </c>
      <c r="F25" t="str">
        <f t="shared" si="2"/>
        <v>High Budget</v>
      </c>
      <c r="G25" t="str">
        <f t="shared" ca="1" si="3"/>
        <v>Risk</v>
      </c>
    </row>
    <row r="26" spans="1:7" x14ac:dyDescent="0.3">
      <c r="A26">
        <v>25</v>
      </c>
      <c r="B26" t="s">
        <v>3</v>
      </c>
      <c r="C26" s="11">
        <v>31345652</v>
      </c>
      <c r="D26" t="str">
        <f t="shared" ca="1" si="0"/>
        <v>Agriculture</v>
      </c>
      <c r="E26" t="str">
        <f t="shared" ca="1" si="1"/>
        <v>Delayed</v>
      </c>
      <c r="F26" t="str">
        <f t="shared" si="2"/>
        <v>High Budget</v>
      </c>
      <c r="G26" t="str">
        <f t="shared" ca="1" si="3"/>
        <v>Risk</v>
      </c>
    </row>
    <row r="27" spans="1:7" x14ac:dyDescent="0.3">
      <c r="A27">
        <v>26</v>
      </c>
      <c r="B27" t="s">
        <v>3</v>
      </c>
      <c r="C27" s="11">
        <v>22747537</v>
      </c>
      <c r="D27" t="str">
        <f t="shared" ca="1" si="0"/>
        <v>Energy</v>
      </c>
      <c r="E27" t="str">
        <f t="shared" ca="1" si="1"/>
        <v>At Risk</v>
      </c>
      <c r="F27" t="str">
        <f t="shared" si="2"/>
        <v>Medium Budget</v>
      </c>
      <c r="G27" t="str">
        <f t="shared" ca="1" si="3"/>
        <v>Critical</v>
      </c>
    </row>
    <row r="28" spans="1:7" x14ac:dyDescent="0.3">
      <c r="A28">
        <v>27</v>
      </c>
      <c r="B28" t="s">
        <v>3</v>
      </c>
      <c r="C28" s="11">
        <v>25375572</v>
      </c>
      <c r="D28" t="str">
        <f t="shared" ca="1" si="0"/>
        <v>Agriculture</v>
      </c>
      <c r="E28" t="str">
        <f t="shared" ca="1" si="1"/>
        <v>Delayed</v>
      </c>
      <c r="F28" t="str">
        <f t="shared" si="2"/>
        <v>Medium Budget</v>
      </c>
      <c r="G28" t="str">
        <f t="shared" ca="1" si="3"/>
        <v>Risk</v>
      </c>
    </row>
    <row r="29" spans="1:7" x14ac:dyDescent="0.3">
      <c r="A29">
        <v>28</v>
      </c>
      <c r="B29" t="s">
        <v>3</v>
      </c>
      <c r="C29" s="11">
        <v>40200196</v>
      </c>
      <c r="D29" t="str">
        <f t="shared" ca="1" si="0"/>
        <v>Health</v>
      </c>
      <c r="E29" t="str">
        <f t="shared" ca="1" si="1"/>
        <v>Completed</v>
      </c>
      <c r="F29" t="str">
        <f t="shared" si="2"/>
        <v>High Budget</v>
      </c>
      <c r="G29" t="str">
        <f t="shared" ca="1" si="3"/>
        <v>Success</v>
      </c>
    </row>
    <row r="30" spans="1:7" x14ac:dyDescent="0.3">
      <c r="A30">
        <v>29</v>
      </c>
      <c r="B30" t="s">
        <v>3</v>
      </c>
      <c r="C30" s="11">
        <v>10226481</v>
      </c>
      <c r="D30" t="str">
        <f t="shared" ca="1" si="0"/>
        <v>Infrastructure</v>
      </c>
      <c r="E30" t="str">
        <f t="shared" ca="1" si="1"/>
        <v>At Risk</v>
      </c>
      <c r="F30" t="str">
        <f t="shared" si="2"/>
        <v>Medium Budget</v>
      </c>
      <c r="G30" t="str">
        <f t="shared" ca="1" si="3"/>
        <v>Critical</v>
      </c>
    </row>
    <row r="31" spans="1:7" x14ac:dyDescent="0.3">
      <c r="A31">
        <v>30</v>
      </c>
      <c r="B31" t="s">
        <v>3</v>
      </c>
      <c r="C31" s="11">
        <v>42896352</v>
      </c>
      <c r="D31" t="str">
        <f t="shared" ca="1" si="0"/>
        <v>ICT</v>
      </c>
      <c r="E31" t="str">
        <f t="shared" ca="1" si="1"/>
        <v>Completed</v>
      </c>
      <c r="F31" t="str">
        <f t="shared" si="2"/>
        <v>High Budget</v>
      </c>
      <c r="G31" t="str">
        <f t="shared" ca="1" si="3"/>
        <v>Success</v>
      </c>
    </row>
    <row r="32" spans="1:7" x14ac:dyDescent="0.3">
      <c r="A32">
        <v>31</v>
      </c>
      <c r="B32" t="s">
        <v>3</v>
      </c>
      <c r="C32" s="11">
        <v>35949895</v>
      </c>
      <c r="D32" t="str">
        <f t="shared" ca="1" si="0"/>
        <v>Health</v>
      </c>
      <c r="E32" t="str">
        <f t="shared" ca="1" si="1"/>
        <v>At Risk</v>
      </c>
      <c r="F32" t="str">
        <f t="shared" si="2"/>
        <v>High Budget</v>
      </c>
      <c r="G32" t="str">
        <f t="shared" ca="1" si="3"/>
        <v>Critical</v>
      </c>
    </row>
    <row r="33" spans="1:7" x14ac:dyDescent="0.3">
      <c r="A33">
        <v>32</v>
      </c>
      <c r="B33" t="s">
        <v>3</v>
      </c>
      <c r="C33" s="11">
        <v>9582544</v>
      </c>
      <c r="D33" t="str">
        <f t="shared" ca="1" si="0"/>
        <v>Energy</v>
      </c>
      <c r="E33" t="str">
        <f t="shared" ca="1" si="1"/>
        <v>In Progress</v>
      </c>
      <c r="F33" t="str">
        <f t="shared" si="2"/>
        <v>Low Budget</v>
      </c>
      <c r="G33" t="str">
        <f t="shared" ca="1" si="3"/>
        <v>On Track</v>
      </c>
    </row>
    <row r="34" spans="1:7" x14ac:dyDescent="0.3">
      <c r="A34">
        <v>33</v>
      </c>
      <c r="B34" t="s">
        <v>3</v>
      </c>
      <c r="C34" s="11">
        <v>12284078</v>
      </c>
      <c r="D34" t="str">
        <f t="shared" ca="1" si="0"/>
        <v>ICT</v>
      </c>
      <c r="E34" t="str">
        <f t="shared" ca="1" si="1"/>
        <v>In Progress</v>
      </c>
      <c r="F34" t="str">
        <f t="shared" si="2"/>
        <v>Medium Budget</v>
      </c>
      <c r="G34" t="str">
        <f t="shared" ca="1" si="3"/>
        <v>On Track</v>
      </c>
    </row>
    <row r="35" spans="1:7" x14ac:dyDescent="0.3">
      <c r="A35">
        <v>34</v>
      </c>
      <c r="B35" t="s">
        <v>3</v>
      </c>
      <c r="C35" s="11">
        <v>21110529</v>
      </c>
      <c r="D35" t="str">
        <f t="shared" ca="1" si="0"/>
        <v>Education</v>
      </c>
      <c r="E35" t="str">
        <f t="shared" ca="1" si="1"/>
        <v>At Risk</v>
      </c>
      <c r="F35" t="str">
        <f t="shared" si="2"/>
        <v>Medium Budget</v>
      </c>
      <c r="G35" t="str">
        <f t="shared" ca="1" si="3"/>
        <v>Critical</v>
      </c>
    </row>
    <row r="36" spans="1:7" x14ac:dyDescent="0.3">
      <c r="A36">
        <v>35</v>
      </c>
      <c r="B36" t="s">
        <v>3</v>
      </c>
      <c r="C36" s="11">
        <v>35605196</v>
      </c>
      <c r="D36" t="str">
        <f t="shared" ca="1" si="0"/>
        <v>ICT</v>
      </c>
      <c r="E36" t="str">
        <f t="shared" ca="1" si="1"/>
        <v>Delayed</v>
      </c>
      <c r="F36" t="str">
        <f t="shared" si="2"/>
        <v>High Budget</v>
      </c>
      <c r="G36" t="str">
        <f t="shared" ca="1" si="3"/>
        <v>Risk</v>
      </c>
    </row>
    <row r="37" spans="1:7" x14ac:dyDescent="0.3">
      <c r="A37">
        <v>36</v>
      </c>
      <c r="B37" t="s">
        <v>3</v>
      </c>
      <c r="C37" s="11">
        <v>45858810</v>
      </c>
      <c r="D37" t="str">
        <f t="shared" ca="1" si="0"/>
        <v>ICT</v>
      </c>
      <c r="E37" t="str">
        <f t="shared" ca="1" si="1"/>
        <v>Delayed</v>
      </c>
      <c r="F37" t="str">
        <f t="shared" si="2"/>
        <v>High Budget</v>
      </c>
      <c r="G37" t="str">
        <f t="shared" ca="1" si="3"/>
        <v>Risk</v>
      </c>
    </row>
    <row r="38" spans="1:7" x14ac:dyDescent="0.3">
      <c r="A38">
        <v>37</v>
      </c>
      <c r="B38" t="s">
        <v>3</v>
      </c>
      <c r="C38" s="11">
        <v>21770343</v>
      </c>
      <c r="D38" t="str">
        <f t="shared" ca="1" si="0"/>
        <v>Agriculture</v>
      </c>
      <c r="E38" t="str">
        <f t="shared" ca="1" si="1"/>
        <v>At Risk</v>
      </c>
      <c r="F38" t="str">
        <f t="shared" si="2"/>
        <v>Medium Budget</v>
      </c>
      <c r="G38" t="str">
        <f t="shared" ca="1" si="3"/>
        <v>Critical</v>
      </c>
    </row>
    <row r="39" spans="1:7" x14ac:dyDescent="0.3">
      <c r="A39">
        <v>38</v>
      </c>
      <c r="B39" t="s">
        <v>3</v>
      </c>
      <c r="C39" s="11">
        <v>14157223</v>
      </c>
      <c r="D39" t="str">
        <f t="shared" ca="1" si="0"/>
        <v>Infrastructure</v>
      </c>
      <c r="E39" t="str">
        <f t="shared" ca="1" si="1"/>
        <v>In Progress</v>
      </c>
      <c r="F39" t="str">
        <f t="shared" si="2"/>
        <v>Medium Budget</v>
      </c>
      <c r="G39" t="str">
        <f t="shared" ca="1" si="3"/>
        <v>On Track</v>
      </c>
    </row>
    <row r="40" spans="1:7" x14ac:dyDescent="0.3">
      <c r="A40">
        <v>39</v>
      </c>
      <c r="B40" t="s">
        <v>3</v>
      </c>
      <c r="C40" s="11">
        <v>41959924</v>
      </c>
      <c r="D40" t="str">
        <f t="shared" ca="1" si="0"/>
        <v>Energy</v>
      </c>
      <c r="E40" t="str">
        <f t="shared" ca="1" si="1"/>
        <v>In Progress</v>
      </c>
      <c r="F40" t="str">
        <f t="shared" si="2"/>
        <v>High Budget</v>
      </c>
      <c r="G40" t="str">
        <f t="shared" ca="1" si="3"/>
        <v>On Track</v>
      </c>
    </row>
    <row r="41" spans="1:7" x14ac:dyDescent="0.3">
      <c r="A41">
        <v>40</v>
      </c>
      <c r="B41" t="s">
        <v>3</v>
      </c>
      <c r="C41" s="11">
        <v>21922828</v>
      </c>
      <c r="D41" t="str">
        <f t="shared" ca="1" si="0"/>
        <v>Agriculture</v>
      </c>
      <c r="E41" t="str">
        <f t="shared" ca="1" si="1"/>
        <v>At Risk</v>
      </c>
      <c r="F41" t="str">
        <f t="shared" si="2"/>
        <v>Medium Budget</v>
      </c>
      <c r="G41" t="str">
        <f t="shared" ca="1" si="3"/>
        <v>Critical</v>
      </c>
    </row>
    <row r="42" spans="1:7" x14ac:dyDescent="0.3">
      <c r="A42">
        <v>41</v>
      </c>
      <c r="B42" t="s">
        <v>3</v>
      </c>
      <c r="C42" s="11">
        <v>47563547</v>
      </c>
      <c r="D42" t="str">
        <f t="shared" ca="1" si="0"/>
        <v>Health</v>
      </c>
      <c r="E42" t="str">
        <f t="shared" ca="1" si="1"/>
        <v>At Risk</v>
      </c>
      <c r="F42" t="str">
        <f t="shared" si="2"/>
        <v>High Budget</v>
      </c>
      <c r="G42" t="str">
        <f t="shared" ca="1" si="3"/>
        <v>Critical</v>
      </c>
    </row>
    <row r="43" spans="1:7" x14ac:dyDescent="0.3">
      <c r="A43">
        <v>42</v>
      </c>
      <c r="B43" t="s">
        <v>3</v>
      </c>
      <c r="C43" s="11">
        <v>12216230</v>
      </c>
      <c r="D43" t="str">
        <f t="shared" ca="1" si="0"/>
        <v>Energy</v>
      </c>
      <c r="E43" t="str">
        <f t="shared" ca="1" si="1"/>
        <v>In Progress</v>
      </c>
      <c r="F43" t="str">
        <f t="shared" si="2"/>
        <v>Medium Budget</v>
      </c>
      <c r="G43" t="str">
        <f t="shared" ca="1" si="3"/>
        <v>On Track</v>
      </c>
    </row>
    <row r="44" spans="1:7" x14ac:dyDescent="0.3">
      <c r="A44">
        <v>43</v>
      </c>
      <c r="B44" t="s">
        <v>3</v>
      </c>
      <c r="C44" s="11">
        <v>21205673</v>
      </c>
      <c r="D44" t="str">
        <f t="shared" ca="1" si="0"/>
        <v>Agriculture</v>
      </c>
      <c r="E44" t="str">
        <f t="shared" ca="1" si="1"/>
        <v>Completed</v>
      </c>
      <c r="F44" t="str">
        <f t="shared" si="2"/>
        <v>Medium Budget</v>
      </c>
      <c r="G44" t="str">
        <f t="shared" ca="1" si="3"/>
        <v>Success</v>
      </c>
    </row>
    <row r="45" spans="1:7" x14ac:dyDescent="0.3">
      <c r="A45">
        <v>44</v>
      </c>
      <c r="B45" t="s">
        <v>3</v>
      </c>
      <c r="C45" s="11">
        <v>41611601</v>
      </c>
      <c r="D45" t="str">
        <f t="shared" ca="1" si="0"/>
        <v>Agriculture</v>
      </c>
      <c r="E45" t="str">
        <f t="shared" ca="1" si="1"/>
        <v>Completed</v>
      </c>
      <c r="F45" t="str">
        <f t="shared" si="2"/>
        <v>High Budget</v>
      </c>
      <c r="G45" t="str">
        <f t="shared" ca="1" si="3"/>
        <v>Success</v>
      </c>
    </row>
    <row r="46" spans="1:7" x14ac:dyDescent="0.3">
      <c r="A46">
        <v>45</v>
      </c>
      <c r="B46" t="s">
        <v>3</v>
      </c>
      <c r="C46" s="11">
        <v>48734123</v>
      </c>
      <c r="D46" t="str">
        <f t="shared" ca="1" si="0"/>
        <v>ICT</v>
      </c>
      <c r="E46" t="str">
        <f t="shared" ca="1" si="1"/>
        <v>In Progress</v>
      </c>
      <c r="F46" t="str">
        <f t="shared" si="2"/>
        <v>High Budget</v>
      </c>
      <c r="G46" t="str">
        <f t="shared" ca="1" si="3"/>
        <v>On Track</v>
      </c>
    </row>
    <row r="47" spans="1:7" x14ac:dyDescent="0.3">
      <c r="A47">
        <v>46</v>
      </c>
      <c r="B47" t="s">
        <v>3</v>
      </c>
      <c r="C47" s="11">
        <v>36380826</v>
      </c>
      <c r="D47" t="str">
        <f t="shared" ca="1" si="0"/>
        <v>Agriculture</v>
      </c>
      <c r="E47" t="str">
        <f t="shared" ca="1" si="1"/>
        <v>Completed</v>
      </c>
      <c r="F47" t="str">
        <f t="shared" si="2"/>
        <v>High Budget</v>
      </c>
      <c r="G47" t="str">
        <f t="shared" ca="1" si="3"/>
        <v>Success</v>
      </c>
    </row>
    <row r="48" spans="1:7" x14ac:dyDescent="0.3">
      <c r="A48">
        <v>47</v>
      </c>
      <c r="B48" t="s">
        <v>3</v>
      </c>
      <c r="C48" s="11">
        <v>19676081</v>
      </c>
      <c r="D48" t="str">
        <f t="shared" ca="1" si="0"/>
        <v>Agriculture</v>
      </c>
      <c r="E48" t="str">
        <f t="shared" ca="1" si="1"/>
        <v>Delayed</v>
      </c>
      <c r="F48" t="str">
        <f t="shared" si="2"/>
        <v>Medium Budget</v>
      </c>
      <c r="G48" t="str">
        <f t="shared" ca="1" si="3"/>
        <v>Risk</v>
      </c>
    </row>
    <row r="49" spans="1:7" x14ac:dyDescent="0.3">
      <c r="A49">
        <v>48</v>
      </c>
      <c r="B49" t="s">
        <v>3</v>
      </c>
      <c r="C49" s="11">
        <v>11494852</v>
      </c>
      <c r="D49" t="str">
        <f t="shared" ca="1" si="0"/>
        <v>Education</v>
      </c>
      <c r="E49" t="str">
        <f t="shared" ca="1" si="1"/>
        <v>Delayed</v>
      </c>
      <c r="F49" t="str">
        <f t="shared" si="2"/>
        <v>Medium Budget</v>
      </c>
      <c r="G49" t="str">
        <f t="shared" ca="1" si="3"/>
        <v>Risk</v>
      </c>
    </row>
    <row r="50" spans="1:7" x14ac:dyDescent="0.3">
      <c r="A50">
        <v>49</v>
      </c>
      <c r="B50" t="s">
        <v>3</v>
      </c>
      <c r="C50" s="11">
        <v>14209652</v>
      </c>
      <c r="D50" t="str">
        <f t="shared" ca="1" si="0"/>
        <v>Health</v>
      </c>
      <c r="E50" t="str">
        <f t="shared" ca="1" si="1"/>
        <v>Completed</v>
      </c>
      <c r="F50" t="str">
        <f t="shared" si="2"/>
        <v>Medium Budget</v>
      </c>
      <c r="G50" t="str">
        <f t="shared" ca="1" si="3"/>
        <v>Success</v>
      </c>
    </row>
    <row r="51" spans="1:7" x14ac:dyDescent="0.3">
      <c r="A51">
        <v>50</v>
      </c>
      <c r="B51" t="s">
        <v>3</v>
      </c>
      <c r="C51" s="11">
        <v>17789651</v>
      </c>
      <c r="D51" t="str">
        <f t="shared" ca="1" si="0"/>
        <v>Health</v>
      </c>
      <c r="E51" t="str">
        <f t="shared" ca="1" si="1"/>
        <v>At Risk</v>
      </c>
      <c r="F51" t="str">
        <f t="shared" si="2"/>
        <v>Medium Budget</v>
      </c>
      <c r="G51" t="str">
        <f t="shared" ca="1" si="3"/>
        <v>Critical</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Budget Allocation by Department</vt:lpstr>
      <vt:lpstr>Project_Risk_Analysis</vt:lpstr>
      <vt:lpstr>Budget Performance Analysis</vt:lpstr>
      <vt:lpstr>Executive_Dashboard</vt:lpstr>
      <vt:lpstr>RAW_PROJECTS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2026-06-19T22:44:43Z</dcterms:created>
  <dcterms:modified xsi:type="dcterms:W3CDTF">2026-06-20T14:33:55Z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2026-06-19T16:07:01Z</dcterms:created>
  <cp:revision>0</cp:revision>
</cp:coreProperties>
</file>